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 state="visible" name="Football Scorers" sheetId="16" r:id="rId20"/>
  </sheets>
  <definedNames/>
  <calcPr/>
</workbook>
</file>

<file path=xl/sharedStrings.xml><?xml version="1.0" encoding="utf-8"?>
<sst xmlns="http://schemas.openxmlformats.org/spreadsheetml/2006/main" count="2356" uniqueCount="819">
  <si>
    <t>Vonnue Cup — Tournament Brackets</t>
  </si>
  <si>
    <t>Champion, runner-up and 3rd place for every event.</t>
  </si>
  <si>
    <t>Event</t>
  </si>
  <si>
    <t>Sheet</t>
  </si>
  <si>
    <t>Entries</t>
  </si>
  <si>
    <t>Matches</t>
  </si>
  <si>
    <t>Byes</t>
  </si>
  <si>
    <t>Starts</t>
  </si>
  <si>
    <t>Final</t>
  </si>
  <si>
    <t>Champion</t>
  </si>
  <si>
    <t>Runner-up</t>
  </si>
  <si>
    <t>3rd Place</t>
  </si>
  <si>
    <t>Chess</t>
  </si>
  <si>
    <t>Thu 15 Oct</t>
  </si>
  <si>
    <t>Mon 02 Nov</t>
  </si>
  <si>
    <t>Carroms Doubles</t>
  </si>
  <si>
    <t>Carroms</t>
  </si>
  <si>
    <t>TT Men's Singles</t>
  </si>
  <si>
    <t>TT MS</t>
  </si>
  <si>
    <t>TT Women's Singles</t>
  </si>
  <si>
    <t>TT WS</t>
  </si>
  <si>
    <t>Wed 21 Oct</t>
  </si>
  <si>
    <t>Vonnue Cup — Team Standings</t>
  </si>
  <si>
    <t>Points go to the team of the player / pair (or the team itself in Cricket &amp; Football) by final position in each event. No points for number of entries.</t>
  </si>
  <si>
    <t>Points per position</t>
  </si>
  <si>
    <t>1st</t>
  </si>
  <si>
    <t>2nd</t>
  </si>
  <si>
    <t>3rd</t>
  </si>
  <si>
    <t>4th</t>
  </si>
  <si>
    <t>4th = loser of the 3rd place match. Same points in every event.</t>
  </si>
  <si>
    <t>Event results</t>
  </si>
  <si>
    <t>Leaderboard</t>
  </si>
  <si>
    <t>Pos</t>
  </si>
  <si>
    <t>Team</t>
  </si>
  <si>
    <t>Points</t>
  </si>
  <si>
    <t>1st / 2nd / 3rd / 4th</t>
  </si>
  <si>
    <t>Vonnue Cup — Full Schedule</t>
  </si>
  <si>
    <t>All events in date order.</t>
  </si>
  <si>
    <t>Date</t>
  </si>
  <si>
    <t>Start</t>
  </si>
  <si>
    <t>End</t>
  </si>
  <si>
    <t>Venue</t>
  </si>
  <si>
    <t>Round</t>
  </si>
  <si>
    <t>Match ID</t>
  </si>
  <si>
    <t>Player / Team 1</t>
  </si>
  <si>
    <t>Player / Team 2</t>
  </si>
  <si>
    <t>Thursday 15 October   ·   28 matches</t>
  </si>
  <si>
    <t>18:00</t>
  </si>
  <si>
    <t>18:12</t>
  </si>
  <si>
    <t>TT table</t>
  </si>
  <si>
    <t>Round 1</t>
  </si>
  <si>
    <t>TMS-R1-01</t>
  </si>
  <si>
    <t>18:18</t>
  </si>
  <si>
    <t>Carrom board</t>
  </si>
  <si>
    <t>CR-R1-01</t>
  </si>
  <si>
    <t>Chess — Knockout Bracket   (31 entries)</t>
  </si>
  <si>
    <t>Random draw, teammates kept apart in their first match.   Grey team cell = bye (starts in Round 2).</t>
  </si>
  <si>
    <t>Round 2</t>
  </si>
  <si>
    <t>Quarter-finals</t>
  </si>
  <si>
    <t>Semi-finals</t>
  </si>
  <si>
    <t>Thu 15 Oct  ·  15 matches</t>
  </si>
  <si>
    <t>Fri 16 Oct  ·  8 matches</t>
  </si>
  <si>
    <t>Mon 19 Oct  ·  4 matches</t>
  </si>
  <si>
    <t>Wed 21 Oct – Thu 22 Oct  ·  2 matches</t>
  </si>
  <si>
    <t>Mon 02 Nov  ·  1 match</t>
  </si>
  <si>
    <t>CH-R1-01   ·   Thu 15 Oct   ·   18:00</t>
  </si>
  <si>
    <t>Team 6</t>
  </si>
  <si>
    <t>Hrishikesh</t>
  </si>
  <si>
    <t>Team 1</t>
  </si>
  <si>
    <t>Solomon</t>
  </si>
  <si>
    <t>CH-R2-01   ·   Fri 16 Oct   ·   18:00</t>
  </si>
  <si>
    <t>Team 2</t>
  </si>
  <si>
    <t>Sainal</t>
  </si>
  <si>
    <t>CH-R3-01   ·   Mon 19 Oct   ·   18:28</t>
  </si>
  <si>
    <t>CH-R1-02   ·   Thu 15 Oct   ·   18:00</t>
  </si>
  <si>
    <t>Samin</t>
  </si>
  <si>
    <t>Shijil</t>
  </si>
  <si>
    <t>Team 3</t>
  </si>
  <si>
    <t>Anan Nasreen</t>
  </si>
  <si>
    <t>CH-R2-02   ·   Fri 16 Oct   ·   18:00</t>
  </si>
  <si>
    <t>CH-R1-03   ·   Thu 15 Oct   ·   18:00</t>
  </si>
  <si>
    <t>Nivya Mathew</t>
  </si>
  <si>
    <t>Team 4</t>
  </si>
  <si>
    <t>CH-R4-01   ·   Wed 21 Oct   ·   18:28</t>
  </si>
  <si>
    <t>CH-R1-04   ·   Thu 15 Oct   ·   18:00</t>
  </si>
  <si>
    <t>Sravan</t>
  </si>
  <si>
    <t>Team 5</t>
  </si>
  <si>
    <t>Mary Metilda</t>
  </si>
  <si>
    <t>CH-R2-03   ·   Fri 16 Oct   ·   18:00</t>
  </si>
  <si>
    <t>CH-R1-05   ·   Thu 15 Oct   ·   18:00</t>
  </si>
  <si>
    <t>18:25</t>
  </si>
  <si>
    <t>Chess (by phone)</t>
  </si>
  <si>
    <t>CH-R1-01</t>
  </si>
  <si>
    <t>CH-R1-02</t>
  </si>
  <si>
    <t>CH-R1-03</t>
  </si>
  <si>
    <t>CH-R1-04</t>
  </si>
  <si>
    <t>CH-R1-05</t>
  </si>
  <si>
    <t>Akshaya</t>
  </si>
  <si>
    <t>CH-R1-06</t>
  </si>
  <si>
    <t>CH-R1-07</t>
  </si>
  <si>
    <t>Bhadresh Das</t>
  </si>
  <si>
    <t>CH-R3-02   ·   Mon 19 Oct   ·   18:25</t>
  </si>
  <si>
    <t>CH-R1-08</t>
  </si>
  <si>
    <t>CH-R1-09</t>
  </si>
  <si>
    <t>CH-R1-06   ·   Thu 15 Oct   ·   18:00</t>
  </si>
  <si>
    <t>CH-R1-10</t>
  </si>
  <si>
    <t>Gautham</t>
  </si>
  <si>
    <t>Nidheesh P V</t>
  </si>
  <si>
    <t>CH-R2-04   ·   Fri 16 Oct   ·   18:00</t>
  </si>
  <si>
    <t>CH-R1-07   ·   Thu 15 Oct   ·   18:00</t>
  </si>
  <si>
    <t>Nived</t>
  </si>
  <si>
    <t>Bonny</t>
  </si>
  <si>
    <t>CH-R5-01   ·   Mon 02 Nov   ·   18:00</t>
  </si>
  <si>
    <t>🏆 CHAMPION</t>
  </si>
  <si>
    <t>CH-R1-08   ·   Thu 15 Oct   ·   18:00</t>
  </si>
  <si>
    <t>Benison</t>
  </si>
  <si>
    <t>🥈 RUNNER-UP</t>
  </si>
  <si>
    <t>Ashmil</t>
  </si>
  <si>
    <t>Ray</t>
  </si>
  <si>
    <t>CH-R2-05   ·   Fri 16 Oct   ·   18:00</t>
  </si>
  <si>
    <t>CH-3P-01   ·   3rd Place   ·   Mon 26 Oct   ·   18:15</t>
  </si>
  <si>
    <t>🥉 3RD PLACE</t>
  </si>
  <si>
    <t>CH-R1-09   ·   Thu 15 Oct   ·   18:00</t>
  </si>
  <si>
    <t>Shamil</t>
  </si>
  <si>
    <t>Neha</t>
  </si>
  <si>
    <t>CH-R3-03   ·   Mon 19 Oct   ·   18:00</t>
  </si>
  <si>
    <t>CH-R1-10   ·   Thu 15 Oct   ·   18:00</t>
  </si>
  <si>
    <t>AnnMary</t>
  </si>
  <si>
    <t>Gokul K R</t>
  </si>
  <si>
    <t>CH-R2-06   ·   Fri 16 Oct   ·   18:28</t>
  </si>
  <si>
    <t>TT Men's Doubles</t>
  </si>
  <si>
    <t>CH-R1-11   ·   Thu 15 Oct   ·   18:00</t>
  </si>
  <si>
    <t>Anjaly C Prakash</t>
  </si>
  <si>
    <t>CH-R4-02   ·   Thu 22 Oct   ·   18:28</t>
  </si>
  <si>
    <t>CH-R1-12   ·   Thu 15 Oct   ·   18:00</t>
  </si>
  <si>
    <t>Akshay A</t>
  </si>
  <si>
    <t>Jithu</t>
  </si>
  <si>
    <t>Sradha Santhosh</t>
  </si>
  <si>
    <t>CH-R2-07   ·   Fri 16 Oct   ·   18:00</t>
  </si>
  <si>
    <t>CH-R1-13   ·   Thu 15 Oct   ·   18:00</t>
  </si>
  <si>
    <t>Rajeesh C V</t>
  </si>
  <si>
    <t>Renson</t>
  </si>
  <si>
    <t>CH-R3-04   ·   Mon 19 Oct   ·   18:00</t>
  </si>
  <si>
    <t>TT Women's Doubles</t>
  </si>
  <si>
    <t>CH-R1-14   ·   Thu 15 Oct   ·   18:00</t>
  </si>
  <si>
    <t>CH-R1-11</t>
  </si>
  <si>
    <t>Anurag</t>
  </si>
  <si>
    <t>TT MD</t>
  </si>
  <si>
    <t>Abhijith K V</t>
  </si>
  <si>
    <t>CH-R2-08   ·   Fri 16 Oct   ·   18:28</t>
  </si>
  <si>
    <t>CH-R1-15   ·   Thu 15 Oct   ·   18:28</t>
  </si>
  <si>
    <t>TT WD</t>
  </si>
  <si>
    <t>Thu 22 Oct</t>
  </si>
  <si>
    <t>Merrin</t>
  </si>
  <si>
    <t>Badminton Men's Singles</t>
  </si>
  <si>
    <t>Badminton MS</t>
  </si>
  <si>
    <t>Sun 01 Nov</t>
  </si>
  <si>
    <t>CH-R1-12</t>
  </si>
  <si>
    <t>CH-R1-13</t>
  </si>
  <si>
    <t>CH-R1-14</t>
  </si>
  <si>
    <t>18:15</t>
  </si>
  <si>
    <t>18:27</t>
  </si>
  <si>
    <t>TMS-R1-04</t>
  </si>
  <si>
    <t>18:21</t>
  </si>
  <si>
    <t>18:39</t>
  </si>
  <si>
    <t>CR-R1-05</t>
  </si>
  <si>
    <t>18:28</t>
  </si>
  <si>
    <t>18:53</t>
  </si>
  <si>
    <t>CH-R1-15</t>
  </si>
  <si>
    <t>18:30</t>
  </si>
  <si>
    <t>18:42</t>
  </si>
  <si>
    <t>TMS-R1-03</t>
  </si>
  <si>
    <t>19:00</t>
  </si>
  <si>
    <t>CR-R1-02</t>
  </si>
  <si>
    <t>18:45</t>
  </si>
  <si>
    <t>18:57</t>
  </si>
  <si>
    <t>TMS-R1-02</t>
  </si>
  <si>
    <t>19:12</t>
  </si>
  <si>
    <t>TMS-R1-05</t>
  </si>
  <si>
    <t>19:03</t>
  </si>
  <si>
    <t>19:21</t>
  </si>
  <si>
    <t>CR-R1-03</t>
  </si>
  <si>
    <t>19:15</t>
  </si>
  <si>
    <t>19:27</t>
  </si>
  <si>
    <t>TMS-R1-06</t>
  </si>
  <si>
    <t>19:24</t>
  </si>
  <si>
    <t>19:42</t>
  </si>
  <si>
    <t>CR-R1-04</t>
  </si>
  <si>
    <t>19:30</t>
  </si>
  <si>
    <t>19:45</t>
  </si>
  <si>
    <t>TMD-R1-01</t>
  </si>
  <si>
    <t>19:48</t>
  </si>
  <si>
    <t>20:00</t>
  </si>
  <si>
    <t>TMS-R2-01</t>
  </si>
  <si>
    <t>Ties on points: more 1st places, then 2nd, then 3rd ranks higher.</t>
  </si>
  <si>
    <t>Badminton Women's Singles</t>
  </si>
  <si>
    <t>Friday 16 October   ·   20 matches</t>
  </si>
  <si>
    <t>Fri 16 Oct</t>
  </si>
  <si>
    <t>TMD-R1-02</t>
  </si>
  <si>
    <t>CR-R1-06</t>
  </si>
  <si>
    <t>Badminton Men's Doubles</t>
  </si>
  <si>
    <t>CH-R2-01</t>
  </si>
  <si>
    <t>CH-R2-02</t>
  </si>
  <si>
    <t>Badminton Women's Doubles</t>
  </si>
  <si>
    <t>CH-R2-03</t>
  </si>
  <si>
    <t>CH-R2-04</t>
  </si>
  <si>
    <t>CH-R2-05</t>
  </si>
  <si>
    <t>Cricket</t>
  </si>
  <si>
    <t>CH-R2-07</t>
  </si>
  <si>
    <t>TMS-R2-02</t>
  </si>
  <si>
    <t>CR-R1-10</t>
  </si>
  <si>
    <t>CH-R2-06</t>
  </si>
  <si>
    <t>Football</t>
  </si>
  <si>
    <t>Points by team</t>
  </si>
  <si>
    <t>Team Name</t>
  </si>
  <si>
    <t>Rank</t>
  </si>
  <si>
    <t>Rajarajeshwari United</t>
  </si>
  <si>
    <t>Jeem Boom Baa</t>
  </si>
  <si>
    <t>Dr. Dashamoolam</t>
  </si>
  <si>
    <t>Thoofan</t>
  </si>
  <si>
    <t>Dhurandhar</t>
  </si>
  <si>
    <t>Aaram Thamburan</t>
  </si>
  <si>
    <t>Badminton WS</t>
  </si>
  <si>
    <t>Badminton MD</t>
  </si>
  <si>
    <t>Badminton WD</t>
  </si>
  <si>
    <t>Tue 27 Oct</t>
  </si>
  <si>
    <t>Fri 06 Nov</t>
  </si>
  <si>
    <t>CH-R2-08</t>
  </si>
  <si>
    <t>Thu 29 Oct</t>
  </si>
  <si>
    <t>18:33</t>
  </si>
  <si>
    <t>TMS-R2-05</t>
  </si>
  <si>
    <t>CR-R1-07</t>
  </si>
  <si>
    <t>Draw: random, with teammates kept apart in their first match; byes spread evenly across the bracket.</t>
  </si>
  <si>
    <t>Chess Men, Women and Open entries are combined into one bracket. A grey team cell in a bracket = bye (starts in Round 2).</t>
  </si>
  <si>
    <t>Team points for each final position (1st / 2nd / 3rd / 4th) are on the Standings sheet.</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</si>
  <si>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</si>
  <si>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18:48</t>
  </si>
  <si>
    <t>TMD-R1-03</t>
  </si>
  <si>
    <t>CR-R1-09</t>
  </si>
  <si>
    <t>Carroms Doubles — Knockout Bracket   (31 entries)</t>
  </si>
  <si>
    <t>19:06</t>
  </si>
  <si>
    <t>19:18</t>
  </si>
  <si>
    <t>TMS-R2-06</t>
  </si>
  <si>
    <t>Thu 15 Oct – Wed 21 Oct  ·  15 matches</t>
  </si>
  <si>
    <t>Mon 19 Oct – Thu 22 Oct  ·  8 matches</t>
  </si>
  <si>
    <t>Thu 22 Oct – Fri 23 Oct  ·  4 matches</t>
  </si>
  <si>
    <t>Fri 23 Oct  ·  2 matches</t>
  </si>
  <si>
    <t>19:33</t>
  </si>
  <si>
    <t>TMS-R2-04</t>
  </si>
  <si>
    <t>CR-R1-01   ·   Thu 15 Oct   ·   18:00</t>
  </si>
  <si>
    <t>Merrin &amp; Anandhakrishnan</t>
  </si>
  <si>
    <t>CR-R1-08</t>
  </si>
  <si>
    <t>Joyel &amp; Shinu</t>
  </si>
  <si>
    <t>CR-R2-01   ·   Mon 19 Oct   ·   19:24</t>
  </si>
  <si>
    <t>Anan Nasreen &amp; Avani</t>
  </si>
  <si>
    <t>19:36</t>
  </si>
  <si>
    <t>19:51</t>
  </si>
  <si>
    <t>TMD-R1-05</t>
  </si>
  <si>
    <t>Monday 19 October   ·   16 matches</t>
  </si>
  <si>
    <t>CR-R3-01   ·   Thu 22 Oct   ·   19:32</t>
  </si>
  <si>
    <t>Mon 19 Oct</t>
  </si>
  <si>
    <t>TMD-R1-04</t>
  </si>
  <si>
    <t>CR-R1-11</t>
  </si>
  <si>
    <t>CR-R1-02   ·   Thu 15 Oct   ·   18:42</t>
  </si>
  <si>
    <t>Quarter-final</t>
  </si>
  <si>
    <t>Ashmil &amp; Prajith</t>
  </si>
  <si>
    <t>CH-R3-03</t>
  </si>
  <si>
    <t>Neethu &amp; Vidhu</t>
  </si>
  <si>
    <t>CR-R2-02   ·   Wed 21 Oct   ·   19:25</t>
  </si>
  <si>
    <t>CH-R3-04</t>
  </si>
  <si>
    <t>TMS-R2-08</t>
  </si>
  <si>
    <t>CR-R1-14</t>
  </si>
  <si>
    <t>18:50</t>
  </si>
  <si>
    <t>CH-R3-02</t>
  </si>
  <si>
    <t>CH-R3-01</t>
  </si>
  <si>
    <t>TMS-R3-01</t>
  </si>
  <si>
    <t>CR-R1-12</t>
  </si>
  <si>
    <t>CR-R1-03   ·   Thu 15 Oct   ·   19:03</t>
  </si>
  <si>
    <t>TMS-R2-07</t>
  </si>
  <si>
    <t>TT Men's Singles — Knockout Bracket   (22 entries)</t>
  </si>
  <si>
    <t>TMS-R2-03</t>
  </si>
  <si>
    <t>CR-R1-15</t>
  </si>
  <si>
    <t>Thu 15 Oct  ·  6 matches</t>
  </si>
  <si>
    <t>Thu 15 Oct – Mon 19 Oct  ·  8 matches</t>
  </si>
  <si>
    <t>Mon 19 Oct – Thu 22 Oct  ·  4 matches</t>
  </si>
  <si>
    <t>TMD-R2-01</t>
  </si>
  <si>
    <t>Thu 22 Oct – Fri 23 Oct  ·  2 matches</t>
  </si>
  <si>
    <t>TMS-R1-01   ·   Thu 15 Oct   ·   18:00</t>
  </si>
  <si>
    <t>Bilal</t>
  </si>
  <si>
    <t>CR-R2-01</t>
  </si>
  <si>
    <t>Rithik P Vijay</t>
  </si>
  <si>
    <t>TMS-R2-01   ·   Thu 15 Oct   ·   19:48</t>
  </si>
  <si>
    <t>TMD-R2-02</t>
  </si>
  <si>
    <t>Sahil M I</t>
  </si>
  <si>
    <t>Tuesday 20 October  —  Mahanavami (no games)</t>
  </si>
  <si>
    <t>Wednesday 21 October   ·   13 matches</t>
  </si>
  <si>
    <t>TMD-R2-03</t>
  </si>
  <si>
    <t>TMS-R3-01   ·   Mon 19 Oct   ·   18:33</t>
  </si>
  <si>
    <t>CR-R1-13</t>
  </si>
  <si>
    <t>TMD-R2-04</t>
  </si>
  <si>
    <t>Musthaq</t>
  </si>
  <si>
    <t>TMS-R2-02   ·   Fri 16 Oct   ·   18:18</t>
  </si>
  <si>
    <t>CR-R2-04</t>
  </si>
  <si>
    <t>Semi-final</t>
  </si>
  <si>
    <t>CH-R4-01</t>
  </si>
  <si>
    <t>Prajith</t>
  </si>
  <si>
    <t>TMS-R1-02   ·   Thu 15 Oct   ·   18:45</t>
  </si>
  <si>
    <t>18:36</t>
  </si>
  <si>
    <t>TMS-R4-01   ·   Thu 22 Oct   ·   18:30</t>
  </si>
  <si>
    <t>TWS-R1-01</t>
  </si>
  <si>
    <t>18:43</t>
  </si>
  <si>
    <t>19:01</t>
  </si>
  <si>
    <t>CR-R2-08</t>
  </si>
  <si>
    <t>18:51</t>
  </si>
  <si>
    <t>TMS-R3-03</t>
  </si>
  <si>
    <t>Gautham &amp; Don</t>
  </si>
  <si>
    <t>19:04</t>
  </si>
  <si>
    <t>19:22</t>
  </si>
  <si>
    <t>CR-R2-05</t>
  </si>
  <si>
    <t>TWS-R1-03</t>
  </si>
  <si>
    <t>TWS-R1-02</t>
  </si>
  <si>
    <t>Nivya Mathew &amp; Bilal</t>
  </si>
  <si>
    <t>CR-R4-01   ·   Fri 23 Oct   ·   19:25</t>
  </si>
  <si>
    <t>19:25</t>
  </si>
  <si>
    <t>19:43</t>
  </si>
  <si>
    <t>CR-R2-02</t>
  </si>
  <si>
    <t>TMS-R3-02</t>
  </si>
  <si>
    <t>Thursday 22 October   ·   12 matches</t>
  </si>
  <si>
    <t>TMS-R3-04</t>
  </si>
  <si>
    <t>CR-R2-03</t>
  </si>
  <si>
    <t>TWS-R1-04</t>
  </si>
  <si>
    <t>CR-R2-06</t>
  </si>
  <si>
    <t>CH-R4-02</t>
  </si>
  <si>
    <t>TMS-R4-01</t>
  </si>
  <si>
    <t>18:49</t>
  </si>
  <si>
    <t>TWD-R1-02</t>
  </si>
  <si>
    <t>CR-R2-07</t>
  </si>
  <si>
    <t>19:07</t>
  </si>
  <si>
    <t>TMD-R3-02</t>
  </si>
  <si>
    <t>19:40</t>
  </si>
  <si>
    <t>TWD-R1-01</t>
  </si>
  <si>
    <t>19:32</t>
  </si>
  <si>
    <t>19:50</t>
  </si>
  <si>
    <t>CR-R3-01</t>
  </si>
  <si>
    <t>19:58</t>
  </si>
  <si>
    <t>TMD-R3-01</t>
  </si>
  <si>
    <t>Friday 23 October   ·   8 matches</t>
  </si>
  <si>
    <t>Fri 23 Oct</t>
  </si>
  <si>
    <t>TMS-R4-02</t>
  </si>
  <si>
    <t>TWS-R2-01</t>
  </si>
  <si>
    <t>18:22</t>
  </si>
  <si>
    <t>18:40</t>
  </si>
  <si>
    <t>CR-R3-03</t>
  </si>
  <si>
    <t>CR-R3-02</t>
  </si>
  <si>
    <t>19:02</t>
  </si>
  <si>
    <t>TWS-R2-02</t>
  </si>
  <si>
    <t>CR-R3-04</t>
  </si>
  <si>
    <t>CR-R4-01</t>
  </si>
  <si>
    <t>19:46</t>
  </si>
  <si>
    <t>20:04</t>
  </si>
  <si>
    <t>CR-R4-02</t>
  </si>
  <si>
    <t>Monday 26 October   ·   6 matches</t>
  </si>
  <si>
    <t>Mon 26 Oct</t>
  </si>
  <si>
    <t>TWS-3P-01</t>
  </si>
  <si>
    <t>CH-3P-01</t>
  </si>
  <si>
    <t>18:55</t>
  </si>
  <si>
    <t>TMS-3P-01</t>
  </si>
  <si>
    <t>18:58</t>
  </si>
  <si>
    <t>19:16</t>
  </si>
  <si>
    <t>CR-3P-01</t>
  </si>
  <si>
    <t>19:19</t>
  </si>
  <si>
    <t>19:34</t>
  </si>
  <si>
    <t>TWD-3P-01</t>
  </si>
  <si>
    <t>19:37</t>
  </si>
  <si>
    <t>19:52</t>
  </si>
  <si>
    <t>TMD-3P-01</t>
  </si>
  <si>
    <t>Tuesday 27 October   ·   3 matches</t>
  </si>
  <si>
    <t>Pool B</t>
  </si>
  <si>
    <t>C-GB-01</t>
  </si>
  <si>
    <t>follows</t>
  </si>
  <si>
    <t>Pool A</t>
  </si>
  <si>
    <t>C-GA-01</t>
  </si>
  <si>
    <t>C-GB-03</t>
  </si>
  <si>
    <t>Wednesday 28 October   ·   3 matches</t>
  </si>
  <si>
    <t>Wed 28 Oct</t>
  </si>
  <si>
    <t>C-GA-02</t>
  </si>
  <si>
    <t>C-GB-02</t>
  </si>
  <si>
    <t>C-GA-03</t>
  </si>
  <si>
    <t>Thursday 29 October   ·   3 matches</t>
  </si>
  <si>
    <t>F-GB-01</t>
  </si>
  <si>
    <t>CR-R1-04   ·   Thu 15 Oct   ·   19:24</t>
  </si>
  <si>
    <t>Gokul K R &amp; Anurag</t>
  </si>
  <si>
    <t>Sradha Santhosh &amp; Nidheesh P V</t>
  </si>
  <si>
    <t>Deekshith &amp; Akshay</t>
  </si>
  <si>
    <t>CR-R2-03   ·   Thu 22 Oct   ·   18:00</t>
  </si>
  <si>
    <t>F-GA-01</t>
  </si>
  <si>
    <t>F-GB-03</t>
  </si>
  <si>
    <t>Friday 30 October   ·   3 matches</t>
  </si>
  <si>
    <t>Fri 30 Oct</t>
  </si>
  <si>
    <t>F-GA-02</t>
  </si>
  <si>
    <t>F-GB-02</t>
  </si>
  <si>
    <t>F-GA-03</t>
  </si>
  <si>
    <t>Sunday 01 November  —  BADMINTON DAY  —  2 courts from 10:00, lunch 13:00–14:00, finals the same day   ·   48 matches</t>
  </si>
  <si>
    <t>10:00</t>
  </si>
  <si>
    <t>10:15</t>
  </si>
  <si>
    <t>Court 1</t>
  </si>
  <si>
    <t>BMS-R1-01</t>
  </si>
  <si>
    <t>Court 2</t>
  </si>
  <si>
    <t>BMS-R1-02</t>
  </si>
  <si>
    <t>10:18</t>
  </si>
  <si>
    <t>10:33</t>
  </si>
  <si>
    <t>BMS-R1-03</t>
  </si>
  <si>
    <t>CR-R1-05   ·   Thu 15 Oct   ·   18:21</t>
  </si>
  <si>
    <t>Arshal Abbas</t>
  </si>
  <si>
    <t>TMS-R2-03   ·   Mon 19 Oct   ·   19:03</t>
  </si>
  <si>
    <t>BWS-R1-02</t>
  </si>
  <si>
    <t>Sarath Joseph &amp; Adhith Vinoj</t>
  </si>
  <si>
    <t>Athira Jayaprasad &amp; Anas</t>
  </si>
  <si>
    <t>10:36</t>
  </si>
  <si>
    <t>10:51</t>
  </si>
  <si>
    <t>BMD-R1-03</t>
  </si>
  <si>
    <t>Amit</t>
  </si>
  <si>
    <t>CR-R3-02   ·   Fri 23 Oct   ·   18:43</t>
  </si>
  <si>
    <t>BMD-R1-02</t>
  </si>
  <si>
    <t>CR-R1-06   ·   Fri 16 Oct   ·   18:00</t>
  </si>
  <si>
    <t>TMS-R3-02   ·   Wed 21 Oct   ·   19:36</t>
  </si>
  <si>
    <t>TMS-R1-03   ·   Thu 15 Oct   ·   18:30</t>
  </si>
  <si>
    <t>Abhishek P S</t>
  </si>
  <si>
    <t>Joyel</t>
  </si>
  <si>
    <t>TMS-R2-04   ·   Fri 16 Oct   ·   19:21</t>
  </si>
  <si>
    <t>TMS-R5-01   ·   Mon 02 Nov   ·   19:04</t>
  </si>
  <si>
    <t>TMS-R1-04   ·   Thu 15 Oct   ·   18:15</t>
  </si>
  <si>
    <t>10:54</t>
  </si>
  <si>
    <t>11:09</t>
  </si>
  <si>
    <t>BWD-R1-02</t>
  </si>
  <si>
    <t>Rishikesh</t>
  </si>
  <si>
    <t>Deekshith</t>
  </si>
  <si>
    <t>BMD-R1-04</t>
  </si>
  <si>
    <t>Ansam</t>
  </si>
  <si>
    <t>11:12</t>
  </si>
  <si>
    <t>11:27</t>
  </si>
  <si>
    <t>TMS-R2-05   ·   Fri 16 Oct   ·   18:33</t>
  </si>
  <si>
    <t>BWS-R1-01</t>
  </si>
  <si>
    <t>Thomas</t>
  </si>
  <si>
    <t>TMS-3P-01   ·   3rd Place   ·   Mon 26 Oct   ·   18:43</t>
  </si>
  <si>
    <t>BWD-R1-04</t>
  </si>
  <si>
    <t>TT Women's Singles — Knockout Bracket   (8 entries)</t>
  </si>
  <si>
    <t>Ansam &amp; Justin</t>
  </si>
  <si>
    <t>11:30</t>
  </si>
  <si>
    <t>11:45</t>
  </si>
  <si>
    <t>BWS-R2-02</t>
  </si>
  <si>
    <t>CR-R2-04   ·   Wed 21 Oct   ·   18:21</t>
  </si>
  <si>
    <t>BWD-R1-03</t>
  </si>
  <si>
    <t>Wed 21 Oct – Thu 22 Oct  ·  4 matches</t>
  </si>
  <si>
    <t>11:48</t>
  </si>
  <si>
    <t>CR-R1-07   ·   Fri 16 Oct   ·   18:42</t>
  </si>
  <si>
    <t>12:03</t>
  </si>
  <si>
    <t>BMS-R1-04</t>
  </si>
  <si>
    <t>TMS-R3-03   ·   Wed 21 Oct   ·   18:51</t>
  </si>
  <si>
    <t>Akshay &amp; Gouresh</t>
  </si>
  <si>
    <t>BWD-R2-04</t>
  </si>
  <si>
    <t>Sharan &amp; Musthaq</t>
  </si>
  <si>
    <t>CR-R5-01   ·   Mon 02 Nov   ·   18:28</t>
  </si>
  <si>
    <t>12:06</t>
  </si>
  <si>
    <t>12:21</t>
  </si>
  <si>
    <t>BWD-R2-03</t>
  </si>
  <si>
    <t>BWD-R1-01</t>
  </si>
  <si>
    <t>12:24</t>
  </si>
  <si>
    <t>12:39</t>
  </si>
  <si>
    <t>BWS-R1-04</t>
  </si>
  <si>
    <t>Soorya Thejas</t>
  </si>
  <si>
    <t>TMS-R2-06   ·   Fri 16 Oct   ·   19:06</t>
  </si>
  <si>
    <t>Vidhu</t>
  </si>
  <si>
    <t>BMD-R2-03</t>
  </si>
  <si>
    <t>CR-R1-08   ·   Fri 16 Oct   ·   19:24</t>
  </si>
  <si>
    <t>12:42</t>
  </si>
  <si>
    <t>12:57</t>
  </si>
  <si>
    <t>TMS-R1-05   ·   Thu 15 Oct   ·   19:00</t>
  </si>
  <si>
    <t>BWD-R2-01</t>
  </si>
  <si>
    <t>TMS-R4-02   ·   Fri 23 Oct   ·   18:00</t>
  </si>
  <si>
    <t>Aparna &amp; Sahil M I</t>
  </si>
  <si>
    <t>BMD-R1-01</t>
  </si>
  <si>
    <t>Adwaith Narayanan</t>
  </si>
  <si>
    <t>TMS-R2-07   ·   Mon 19 Oct   ·   18:48</t>
  </si>
  <si>
    <t>13:00 – 14:00   Lunch break</t>
  </si>
  <si>
    <t>14:00</t>
  </si>
  <si>
    <t>14:15</t>
  </si>
  <si>
    <t>BMD-R2-01</t>
  </si>
  <si>
    <t>BWS-R2-04</t>
  </si>
  <si>
    <t>14:18</t>
  </si>
  <si>
    <t>14:33</t>
  </si>
  <si>
    <t>BWS-R1-03</t>
  </si>
  <si>
    <t>TMS-R3-04   ·   Thu 22 Oct   ·   18:00</t>
  </si>
  <si>
    <t>BMD-R2-04</t>
  </si>
  <si>
    <t>Sharon &amp; Amit</t>
  </si>
  <si>
    <t>CR-R2-05   ·   Wed 21 Oct   ·   19:04</t>
  </si>
  <si>
    <t>TMS-R1-06   ·   Thu 15 Oct   ·   19:15</t>
  </si>
  <si>
    <t>14:36</t>
  </si>
  <si>
    <t>14:51</t>
  </si>
  <si>
    <t>BWD-R2-02</t>
  </si>
  <si>
    <t>Subin</t>
  </si>
  <si>
    <t>BMD-R2-02</t>
  </si>
  <si>
    <t>TMS-R2-08   ·   Mon 19 Oct   ·   18:18</t>
  </si>
  <si>
    <t>Alwin</t>
  </si>
  <si>
    <t>14:54</t>
  </si>
  <si>
    <t>15:09</t>
  </si>
  <si>
    <t xml:space="preserve"> </t>
  </si>
  <si>
    <t>CR-3P-01   ·   3rd Place   ·   Mon 26 Oct   ·   18:58</t>
  </si>
  <si>
    <t>CR-R1-09   ·   Fri 16 Oct   ·   19:03</t>
  </si>
  <si>
    <t>Rajeesh C V &amp; Ibrahim</t>
  </si>
  <si>
    <t>Alwin &amp; Nived</t>
  </si>
  <si>
    <t>CR-R3-03   ·   Fri 23 Oct   ·   18:22</t>
  </si>
  <si>
    <t>CR-R1-10   ·   Fri 16 Oct   ·   18:21</t>
  </si>
  <si>
    <t>Samin &amp; Nikhil</t>
  </si>
  <si>
    <t>Akhila &amp; Athira</t>
  </si>
  <si>
    <t>Nivya Peter &amp; Nikitha</t>
  </si>
  <si>
    <t>CR-R2-06   ·   Thu 22 Oct   ·   18:21</t>
  </si>
  <si>
    <t>CR-R1-11   ·   Mon 19 Oct   ·   18:00</t>
  </si>
  <si>
    <t>TWS-R1-01   ·   Wed 21 Oct   ·   18:36</t>
  </si>
  <si>
    <t>Ashna</t>
  </si>
  <si>
    <t>Neethu</t>
  </si>
  <si>
    <t>TWS-R2-01   ·   Fri 23 Oct   ·   18:15</t>
  </si>
  <si>
    <t>Tressy &amp; Shijil</t>
  </si>
  <si>
    <t>CR-R4-02   ·   Fri 23 Oct   ·   19:46</t>
  </si>
  <si>
    <t>CR-R1-12   ·   Mon 19 Oct   ·   18:42</t>
  </si>
  <si>
    <t>Jithu &amp; Bilsy</t>
  </si>
  <si>
    <t>Abhijith K V &amp; Divin</t>
  </si>
  <si>
    <t>Nandhana Rayaroth &amp; Sona</t>
  </si>
  <si>
    <t>CR-R2-07   ·   Thu 22 Oct   ·   19:03</t>
  </si>
  <si>
    <t>CR-R1-13   ·   Wed 21 Oct   ·   18:00</t>
  </si>
  <si>
    <t>Hrishikesh &amp; Jayakrishnan</t>
  </si>
  <si>
    <t>Ray &amp; Boban Paul</t>
  </si>
  <si>
    <t>CR-R3-04   ·   Fri 23 Oct   ·   19:04</t>
  </si>
  <si>
    <t>CR-R1-14   ·   Mon 19 Oct   ·   18:21</t>
  </si>
  <si>
    <t>Abhishek P S &amp; Vidhya M Robert</t>
  </si>
  <si>
    <t>Niju &amp; Christo</t>
  </si>
  <si>
    <t>CR-R2-08   ·   Wed 21 Oct   ·   18:43</t>
  </si>
  <si>
    <t>CR-R1-15   ·   Mon 19 Oct   ·   19:03</t>
  </si>
  <si>
    <t>Deepanjali &amp; Anjana</t>
  </si>
  <si>
    <t>TWS-R1-02   ·   Wed 21 Oct   ·   19:21</t>
  </si>
  <si>
    <t>Deepanjali</t>
  </si>
  <si>
    <t>TWS-R3-01   ·   Mon 02 Nov   ·   18:49</t>
  </si>
  <si>
    <t>BMS-R2-02</t>
  </si>
  <si>
    <t>BMS-R2-01</t>
  </si>
  <si>
    <t>15:12</t>
  </si>
  <si>
    <t>15:27</t>
  </si>
  <si>
    <t>BMS-R2-03</t>
  </si>
  <si>
    <t>BMS-R2-04</t>
  </si>
  <si>
    <t>15:30</t>
  </si>
  <si>
    <t>15:45</t>
  </si>
  <si>
    <t>BWS-R2-01</t>
  </si>
  <si>
    <t>BWS-R2-03</t>
  </si>
  <si>
    <t>TWS-R1-03   ·   Wed 21 Oct   ·   19:06</t>
  </si>
  <si>
    <t>15:48</t>
  </si>
  <si>
    <t>16:03</t>
  </si>
  <si>
    <t>BMD-R3-02</t>
  </si>
  <si>
    <t>Aparna</t>
  </si>
  <si>
    <t>Akhila</t>
  </si>
  <si>
    <t>TWS-R2-02   ·   Fri 23 Oct   ·   18:50</t>
  </si>
  <si>
    <t>TWS-3P-01   ·   3rd Place   ·   Mon 26 Oct   ·   18:00</t>
  </si>
  <si>
    <t>TWS-R1-04   ·   Thu 22 Oct   ·   18:15</t>
  </si>
  <si>
    <t>BMD-R3-01</t>
  </si>
  <si>
    <t>16:06</t>
  </si>
  <si>
    <t>16:21</t>
  </si>
  <si>
    <t>BWD-R3-02</t>
  </si>
  <si>
    <t>BWD-R3-01</t>
  </si>
  <si>
    <t>16:24</t>
  </si>
  <si>
    <t>16:39</t>
  </si>
  <si>
    <t>BMS-R3-02</t>
  </si>
  <si>
    <t>BMS-R3-01</t>
  </si>
  <si>
    <t>16:42</t>
  </si>
  <si>
    <t>16:57</t>
  </si>
  <si>
    <t>BWS-R3-02</t>
  </si>
  <si>
    <t>BWS-R3-01</t>
  </si>
  <si>
    <t>17:00</t>
  </si>
  <si>
    <t>17:15</t>
  </si>
  <si>
    <t>BMD-3P-01</t>
  </si>
  <si>
    <t>17:07</t>
  </si>
  <si>
    <t>17:22</t>
  </si>
  <si>
    <t>BWS-3P-01</t>
  </si>
  <si>
    <t>17:25</t>
  </si>
  <si>
    <t>17:40</t>
  </si>
  <si>
    <t>BMS-3P-01</t>
  </si>
  <si>
    <t>17:32</t>
  </si>
  <si>
    <t>17:47</t>
  </si>
  <si>
    <t>BWD-3P-01</t>
  </si>
  <si>
    <t>17:50</t>
  </si>
  <si>
    <t>18:05</t>
  </si>
  <si>
    <t>BMS-R4-01</t>
  </si>
  <si>
    <t>17:57</t>
  </si>
  <si>
    <t>BWD-R4-01</t>
  </si>
  <si>
    <t>BMD-R4-01</t>
  </si>
  <si>
    <t>18:37</t>
  </si>
  <si>
    <t>BWS-R4-01</t>
  </si>
  <si>
    <t>Monday 02 November  —  FINALS EVENING  —  Chess, Carrom &amp; Table Tennis   ·   6 matches</t>
  </si>
  <si>
    <t>CH-R5-01</t>
  </si>
  <si>
    <t>18:46</t>
  </si>
  <si>
    <t>CR-R5-01</t>
  </si>
  <si>
    <t>TWS-R3-01</t>
  </si>
  <si>
    <t>TMS-R5-01</t>
  </si>
  <si>
    <t>TWD-R2-01</t>
  </si>
  <si>
    <t>TMD-R4-01</t>
  </si>
  <si>
    <t>Wednesday 04 November   ·   3 matches</t>
  </si>
  <si>
    <t>Wed 04 Nov</t>
  </si>
  <si>
    <t>C-SF-01</t>
  </si>
  <si>
    <t>C-SF-02</t>
  </si>
  <si>
    <t>C-3P-01</t>
  </si>
  <si>
    <t>Thursday 05 November   ·   3 matches</t>
  </si>
  <si>
    <t>Thu 05 Nov</t>
  </si>
  <si>
    <t>F-SF-01</t>
  </si>
  <si>
    <t>F-SF-02</t>
  </si>
  <si>
    <t>F-3P-01</t>
  </si>
  <si>
    <t>Friday 06 November  —  FINALS  —  Cricket &amp; Football   ·   2 matches</t>
  </si>
  <si>
    <t>C-F-01</t>
  </si>
  <si>
    <t>F-F-01</t>
  </si>
  <si>
    <t>Clash rules (Chess, Carrom, TT, Badminton): a player never has two matches at once and gets at least 10 minutes between matches. For later rounds the schedule keeps clear of every player who could still reach that match, so no re-shuffling is needed as results come in.</t>
  </si>
  <si>
    <t>Chess, Carrom &amp; TT: evenings 18:00–20:00, one carrom board, one TT table (3 min changeover); chess one round per evening, by phone up to the quarter-finals, in person from the semi-finals.</t>
  </si>
  <si>
    <t>Chess, Carrom and TT 3rd place matches are on Mon 26 Oct (18:00–19:52) and finals on Mon 02 Nov (18:00–19:52), one match after another.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</si>
  <si>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</si>
  <si>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</si>
  <si>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</si>
  <si>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TT Men's Doubles — Knockout Bracket   (13 entries)</t>
  </si>
  <si>
    <t>Thu 15 Oct – Mon 19 Oct  ·  5 matches</t>
  </si>
  <si>
    <t>Mon 19 Oct – Wed 21 Oct  ·  4 matches</t>
  </si>
  <si>
    <t>Thu 22 Oct  ·  2 matches</t>
  </si>
  <si>
    <t>TMD-R1-01   ·   Thu 15 Oct   ·   19:30</t>
  </si>
  <si>
    <t>TT Women's Doubles — Knockout Bracket   (4 entries)</t>
  </si>
  <si>
    <t>Ansam &amp; Musthaq</t>
  </si>
  <si>
    <t>Bonny &amp; Akshay</t>
  </si>
  <si>
    <t>TMD-R2-01   ·   Mon 19 Oct   ·   19:18</t>
  </si>
  <si>
    <t>Thomas &amp; Ray</t>
  </si>
  <si>
    <t>TWD-R1-01   ·   Thu 22 Oct   ·   19:25</t>
  </si>
  <si>
    <t>Aparna &amp; Deepanjali</t>
  </si>
  <si>
    <t>Sradha Santhosh &amp; Aryamol</t>
  </si>
  <si>
    <t>TWD-R2-01   ·   Mon 02 Nov   ·   19:19</t>
  </si>
  <si>
    <t>TWD-R1-02   ·   Thu 22 Oct   ·   18:49</t>
  </si>
  <si>
    <t>Akhila &amp; Ashna</t>
  </si>
  <si>
    <t>Neethu &amp; Nivya Mathew</t>
  </si>
  <si>
    <t>TWD-3P-01   ·   3rd Place   ·   Mon 26 Oct   ·   19:19</t>
  </si>
  <si>
    <t>Badminton Men's Singles — Knockout Bracket   (12 entries)</t>
  </si>
  <si>
    <t>Random draw: each team's two entries are in opposite halves, so teammates can only meet in the final.   Grey team cell = bye (starts in Round 2).</t>
  </si>
  <si>
    <t>Sun 01 Nov  ·  4 matches</t>
  </si>
  <si>
    <t>Sun 01 Nov  ·  2 matches</t>
  </si>
  <si>
    <t>Sun 01 Nov  ·  1 match</t>
  </si>
  <si>
    <t>BMS-R1-01   ·   Sun 01 Nov   ·   10:00</t>
  </si>
  <si>
    <t>Amal Jose</t>
  </si>
  <si>
    <t>Anandhan Sreekumar</t>
  </si>
  <si>
    <t>BMS-R2-01   ·   Sun 01 Nov   ·   14:54</t>
  </si>
  <si>
    <t>Joel Paul</t>
  </si>
  <si>
    <t>Badminton Women's Singles — Knockout Bracket   (12 entries)</t>
  </si>
  <si>
    <t>BWS-R1-01   ·   Sun 01 Nov   ·   11:12</t>
  </si>
  <si>
    <t>Ameesha T</t>
  </si>
  <si>
    <t>Neha Abdul Majeed</t>
  </si>
  <si>
    <t>BWS-R2-01   ·   Sun 01 Nov   ·   15:30</t>
  </si>
  <si>
    <t>Anima V Shaji</t>
  </si>
  <si>
    <t>BWS-R3-01   ·   Sun 01 Nov   ·   16:42</t>
  </si>
  <si>
    <t>BWS-R1-02   ·   Sun 01 Nov   ·   10:18</t>
  </si>
  <si>
    <t>BWS-R2-02   ·   Sun 01 Nov   ·   11:30</t>
  </si>
  <si>
    <t>Gayathri</t>
  </si>
  <si>
    <t>BMS-R3-01   ·   Sun 01 Nov   ·   16:24</t>
  </si>
  <si>
    <t>BWS-R4-01   ·   Sun 01 Nov   ·   18:22</t>
  </si>
  <si>
    <t>BMS-R1-02   ·   Sun 01 Nov   ·   10:00</t>
  </si>
  <si>
    <t>BWS-R1-03   ·   Sun 01 Nov   ·   14:18</t>
  </si>
  <si>
    <t>BMS-R2-02   ·   Sun 01 Nov   ·   14:54</t>
  </si>
  <si>
    <t>Kevin Raj</t>
  </si>
  <si>
    <t>BWS-R2-03   ·   Sun 01 Nov   ·   15:30</t>
  </si>
  <si>
    <t>BMS-R4-01   ·   Sun 01 Nov   ·   17:50</t>
  </si>
  <si>
    <t>BWS-3P-01   ·   3rd Place   ·   Sun 01 Nov   ·   17:07</t>
  </si>
  <si>
    <t>TMD-R3-01   ·   Thu 22 Oct   ·   19:43</t>
  </si>
  <si>
    <t>TMD-R1-02   ·   Fri 16 Oct   ·   18:00</t>
  </si>
  <si>
    <t>Rishikesh &amp; Amit</t>
  </si>
  <si>
    <t>Adwaith Narayanan &amp; Alwin</t>
  </si>
  <si>
    <t>TMD-R2-02   ·   Mon 19 Oct   ·   19:36</t>
  </si>
  <si>
    <t>TMD-R1-03   ·   Fri 16 Oct   ·   18:48</t>
  </si>
  <si>
    <t>BMS-R1-03   ·   Sun 01 Nov   ·   10:18</t>
  </si>
  <si>
    <t>BMS-R2-03   ·   Sun 01 Nov   ·   15:12</t>
  </si>
  <si>
    <t>BMS-3P-01   ·   3rd Place   ·   Sun 01 Nov   ·   17:25</t>
  </si>
  <si>
    <t>Subin &amp; Sahil M I</t>
  </si>
  <si>
    <t>Nidheesh P V &amp; Abhishek P S</t>
  </si>
  <si>
    <t>TMD-R4-01   ·   Mon 02 Nov   ·   19:37</t>
  </si>
  <si>
    <t>TMD-R1-04   ·   Mon 19 Oct   ·   18:00</t>
  </si>
  <si>
    <t>Prajith &amp; Nived</t>
  </si>
  <si>
    <t>Joyel &amp; Vidhu</t>
  </si>
  <si>
    <t>TMD-R2-03   ·   Wed 21 Oct   ·   18:00</t>
  </si>
  <si>
    <t>Bilal &amp; Deekshith</t>
  </si>
  <si>
    <t>TMD-3P-01   ·   3rd Place   ·   Mon 26 Oct   ·   19:37</t>
  </si>
  <si>
    <t>BWS-R3-02   ·   Sun 01 Nov   ·   16:42</t>
  </si>
  <si>
    <t>BWS-R1-04   ·   Sun 01 Nov   ·   12:24</t>
  </si>
  <si>
    <t>Tressy</t>
  </si>
  <si>
    <t>BWS-R2-04   ·   Sun 01 Nov   ·   14:00</t>
  </si>
  <si>
    <t>TMD-R3-02   ·   Thu 22 Oct   ·   19:07</t>
  </si>
  <si>
    <t>TMD-R1-05   ·   Fri 16 Oct   ·   19:36</t>
  </si>
  <si>
    <t>BMS-R3-02   ·   Sun 01 Nov   ·   16:24</t>
  </si>
  <si>
    <t>Rithik P Vijay &amp; Prathyush</t>
  </si>
  <si>
    <t>Rajeesh C V &amp; Soorya Thejas</t>
  </si>
  <si>
    <t>Anandhakrishnan &amp; Christo</t>
  </si>
  <si>
    <t>TMD-R2-04   ·   Wed 21 Oct   ·   18:18</t>
  </si>
  <si>
    <t>BMS-R1-04   ·   Sun 01 Nov   ·   11:48</t>
  </si>
  <si>
    <t>BMS-R2-04   ·   Sun 01 Nov   ·   15:12</t>
  </si>
  <si>
    <t>Badminton Men's Doubles — Knockout Bracket   (12 entries)</t>
  </si>
  <si>
    <t>BMD-R1-01   ·   Sun 01 Nov   ·   12:42</t>
  </si>
  <si>
    <t>Thomas &amp; Boban Paul</t>
  </si>
  <si>
    <t>Nidheesh P V &amp; Gowtham A P</t>
  </si>
  <si>
    <t>BMD-R2-01   ·   Sun 01 Nov   ·   14:00</t>
  </si>
  <si>
    <t>Joyel &amp; Shamil</t>
  </si>
  <si>
    <t>BMD-R3-01   ·   Sun 01 Nov   ·   15:48</t>
  </si>
  <si>
    <t>BMD-R1-02   ·   Sun 01 Nov   ·   10:36</t>
  </si>
  <si>
    <t>Rajeesh C V &amp; Akhil P Jose</t>
  </si>
  <si>
    <t>Jayesh &amp; Ansam</t>
  </si>
  <si>
    <t>BMD-R2-02   ·   Sun 01 Nov   ·   14:36</t>
  </si>
  <si>
    <t>Rithik P Vijay &amp; Jerin Wilson</t>
  </si>
  <si>
    <t>BMD-R4-01   ·   Sun 01 Nov   ·   18:15</t>
  </si>
  <si>
    <t>BMD-R1-03   ·   Sun 01 Nov   ·   10:36</t>
  </si>
  <si>
    <t>Amal Jose &amp; Gokul K R</t>
  </si>
  <si>
    <t>Kevin Raj &amp; Adwaith Narayanan</t>
  </si>
  <si>
    <t>BMD-R2-03   ·   Sun 01 Nov   ·   12:24</t>
  </si>
  <si>
    <t>Abhijith K V &amp; Akshay A</t>
  </si>
  <si>
    <t>BMD-3P-01   ·   3rd Place   ·   Sun 01 Nov   ·   17:00</t>
  </si>
  <si>
    <t>BMD-R3-02   ·   Sun 01 Nov   ·   15:48</t>
  </si>
  <si>
    <t>BMD-R1-04   ·   Sun 01 Nov   ·   10:54</t>
  </si>
  <si>
    <t>Joel Paul &amp; Musthaq</t>
  </si>
  <si>
    <t>Sahil M I &amp; Gautham</t>
  </si>
  <si>
    <t>BMD-R2-04   ·   Sun 01 Nov   ·   14:18</t>
  </si>
  <si>
    <t>Amit &amp; Rishikesh</t>
  </si>
  <si>
    <t>Badminton Women's Doubles — Knockout Bracket   (12 entries)</t>
  </si>
  <si>
    <t>BWD-R1-01   ·   Sun 01 Nov   ·   12:06</t>
  </si>
  <si>
    <t>Neha Abdul Majeed &amp; Nandhana Rayaroth</t>
  </si>
  <si>
    <t>Manjusha &amp; AnnMary</t>
  </si>
  <si>
    <t>BWD-R2-01   ·   Sun 01 Nov   ·   12:42</t>
  </si>
  <si>
    <t>Cricket — Pools &amp; Knockout</t>
  </si>
  <si>
    <t>Merrin &amp; Ashna</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</si>
  <si>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</si>
  <si>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</si>
  <si>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BWD-R3-01   ·   Sun 01 Nov   ·   16:06</t>
  </si>
  <si>
    <t>Points: Win</t>
  </si>
  <si>
    <t>Draw / No result</t>
  </si>
  <si>
    <t>BWD-R1-02   ·   Sun 01 Nov   ·   10:54</t>
  </si>
  <si>
    <t>Played</t>
  </si>
  <si>
    <t>Won</t>
  </si>
  <si>
    <t>BWD-R2-02   ·   Sun 01 Nov   ·   14:36</t>
  </si>
  <si>
    <t>Drawn</t>
  </si>
  <si>
    <t>Lost</t>
  </si>
  <si>
    <t>Tiebreak</t>
  </si>
  <si>
    <t>Anima V Shaji &amp; Tressy</t>
  </si>
  <si>
    <t>BWD-R4-01   ·   Sun 01 Nov   ·   17:57</t>
  </si>
  <si>
    <t>BWD-R1-03   ·   Sun 01 Nov   ·   11:30</t>
  </si>
  <si>
    <t>C-SF-01   ·   Wed 04 Nov   ·   19:00</t>
  </si>
  <si>
    <t>Pool A winner</t>
  </si>
  <si>
    <t>Pool B runner-up</t>
  </si>
  <si>
    <t>C-F-01   ·   Fri 06 Nov</t>
  </si>
  <si>
    <t>W C-SF-01</t>
  </si>
  <si>
    <t>Anjaly C Prakash &amp; Anan Nasreen</t>
  </si>
  <si>
    <t>Shinu &amp; Bilsy</t>
  </si>
  <si>
    <t>BWD-R2-03   ·   Sun 01 Nov   ·   12:06</t>
  </si>
  <si>
    <t>Aparna &amp; Gayathri</t>
  </si>
  <si>
    <t>BWD-3P-01   ·   3rd Place   ·   Sun 01 Nov   ·   17:32</t>
  </si>
  <si>
    <t>BWD-R3-02   ·   Sun 01 Nov   ·   16:06</t>
  </si>
  <si>
    <t>BWD-R1-04   ·   Sun 01 Nov   ·   11:12</t>
  </si>
  <si>
    <t>Josna Mathew &amp; Athira Jayaprasad</t>
  </si>
  <si>
    <t>Akshaya &amp; Athira</t>
  </si>
  <si>
    <t>BWD-R2-04   ·   Sun 01 Nov   ·   11:48</t>
  </si>
  <si>
    <t>Riya Fathima &amp; Ameesha T</t>
  </si>
  <si>
    <t>W C-F-01</t>
  </si>
  <si>
    <t>W C-SF-02</t>
  </si>
  <si>
    <t>C-SF-02   ·   Wed 04 Nov   ·   follows</t>
  </si>
  <si>
    <t>L final</t>
  </si>
  <si>
    <t>Pool B winner</t>
  </si>
  <si>
    <t>Pool A runner-up</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</si>
  <si>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</si>
  <si>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</si>
  <si>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</si>
  <si>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</si>
  <si>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Day</t>
  </si>
  <si>
    <t>Time</t>
  </si>
  <si>
    <t>Pool</t>
  </si>
  <si>
    <t>Score / Result</t>
  </si>
  <si>
    <t>Winner</t>
  </si>
  <si>
    <t>L C-SF-02</t>
  </si>
  <si>
    <t>B</t>
  </si>
  <si>
    <t>Draw</t>
  </si>
  <si>
    <t>A</t>
  </si>
  <si>
    <t>Football — Pools &amp; Knockout</t>
  </si>
  <si>
    <t>Pool matches: Thu 29 Oct &amp; Fri 30 Oct   ·   Semi-finals &amp; 3rd place: Thu 05 Nov   ·   Final: Fri 06 Nov.   First match each day 19:00, the rest follow on (final: date only).</t>
  </si>
  <si>
    <t>GD</t>
  </si>
  <si>
    <t>Football — Goal Scorers</t>
  </si>
  <si>
    <t>One row per scorer per match. Pick the Match ID and Team; a blank Goals cell counts as 1.</t>
  </si>
  <si>
    <t>Own goal: type "Own goal" as the Player, under the team that got the goal.</t>
  </si>
  <si>
    <t>Player</t>
  </si>
  <si>
    <t>Goals</t>
  </si>
  <si>
    <t>Player total</t>
  </si>
  <si>
    <t>Rishi</t>
  </si>
  <si>
    <t>Own goal</t>
  </si>
  <si>
    <t>Abinraj</t>
  </si>
  <si>
    <t>F-SF-01   ·   Thu 05 Nov   ·   19:00</t>
  </si>
  <si>
    <t>Akshay Antony</t>
  </si>
  <si>
    <t>Abhijith</t>
  </si>
  <si>
    <t>Rithik</t>
  </si>
  <si>
    <t>Anandhan</t>
  </si>
  <si>
    <t>Christo</t>
  </si>
  <si>
    <t>Jerishab</t>
  </si>
  <si>
    <t>Adith</t>
  </si>
  <si>
    <t>Divin</t>
  </si>
  <si>
    <t>Rayboy</t>
  </si>
  <si>
    <t>F-F-01   ·   Fri 06 Nov</t>
  </si>
  <si>
    <t>W F-SF-01</t>
  </si>
  <si>
    <t>W F-F-01</t>
  </si>
  <si>
    <t>W F-SF-02</t>
  </si>
  <si>
    <t>F-SF-02   ·   Thu 05 Nov   ·   follows</t>
  </si>
  <si>
    <t>F-3P-01   ·   3rd Place   ·   Thu 05 Nov   ·   follows</t>
  </si>
  <si>
    <t>L F-SF-01</t>
  </si>
  <si>
    <t>L F-SF-02</t>
  </si>
  <si>
    <t>Goals 1</t>
  </si>
  <si>
    <t>Goals 2</t>
  </si>
  <si>
    <t>4 - 1</t>
  </si>
  <si>
    <t>1 - 2</t>
  </si>
  <si>
    <t>3 - 2</t>
  </si>
  <si>
    <t>0 -1</t>
  </si>
  <si>
    <t>0 - 3</t>
  </si>
  <si>
    <t>2 - 2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</si>
</sst>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sz val="11.0"/>
      <color theme="1"/>
      <name val="Calibri"/>
    </font>
    <font>
      <b/>
      <sz val="10.0"/>
      <color rgb="FFFFFFFF"/>
      <name val="Arial"/>
    </font>
    <font>
      <b/>
      <sz val="10.0"/>
      <color theme="1"/>
      <name val="Arial"/>
    </font>
    <font>
      <sz val="10.0"/>
      <color rgb="FF0563C1"/>
      <name val="Arial"/>
    </font>
    <font>
      <sz val="10.0"/>
      <color theme="1"/>
      <name val="Arial"/>
    </font>
    <font>
      <b/>
      <sz val="10.0"/>
      <color rgb="FF008000"/>
      <name val="Arial"/>
    </font>
    <font>
      <b/>
      <sz val="11.0"/>
      <color rgb="FF1F3864"/>
      <name val="Arial"/>
    </font>
    <font>
      <sz val="10.0"/>
      <color rgb="FF0000FF"/>
      <name val="Arial"/>
    </font>
    <font>
      <i/>
      <sz val="8.0"/>
      <color rgb="FF595959"/>
      <name val="Arial"/>
    </font>
    <font>
      <sz val="10.0"/>
      <color rgb="FF000000"/>
      <name val="Arial"/>
    </font>
    <font>
      <b/>
      <sz val="10.0"/>
      <color rgb="FF1F3864"/>
      <name val="Arial"/>
    </font>
    <font>
      <sz val="8.0"/>
      <color rgb="FFFFFFFF"/>
      <name val="Arial"/>
    </font>
    <font>
      <b/>
      <sz val="8.0"/>
      <color rgb="FF1F3864"/>
      <name val="Arial"/>
    </font>
    <font>
      <sz val="8.0"/>
      <color rgb="FF595959"/>
      <name val="Arial"/>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
      <patternFill patternType="solid">
        <fgColor rgb="FFFFD966"/>
        <bgColor rgb="FFFFD966"/>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Font="1"/>
    <xf borderId="3" fillId="3" fontId="5" numFmtId="0" xfId="0" applyAlignment="1" applyBorder="1" applyFill="1" applyFont="1">
      <alignment horizontal="center" vertical="center"/>
    </xf>
    <xf borderId="3" fillId="0" fontId="6" numFmtId="0" xfId="0" applyAlignment="1" applyBorder="1" applyFont="1">
      <alignment horizontal="left" vertical="center"/>
    </xf>
    <xf borderId="3" fillId="0" fontId="7" numFmtId="0" xfId="0" applyAlignment="1" applyBorder="1" applyFont="1">
      <alignment horizontal="left" vertical="center"/>
    </xf>
    <xf borderId="3" fillId="0" fontId="8" numFmtId="0" xfId="0" applyAlignment="1" applyBorder="1" applyFont="1">
      <alignment horizontal="center" vertical="center"/>
    </xf>
    <xf borderId="3" fillId="0" fontId="9" numFmtId="0" xfId="0" applyAlignment="1" applyBorder="1" applyFont="1">
      <alignment horizontal="left" vertical="center"/>
    </xf>
    <xf borderId="0" fillId="0" fontId="10" numFmtId="0" xfId="0" applyAlignment="1" applyFont="1">
      <alignment horizontal="left" vertical="center"/>
    </xf>
    <xf borderId="3" fillId="4" fontId="6" numFmtId="0" xfId="0" applyAlignment="1" applyBorder="1" applyFill="1" applyFont="1">
      <alignment horizontal="center" vertical="center"/>
    </xf>
    <xf borderId="3" fillId="5" fontId="11" numFmtId="0" xfId="0" applyAlignment="1" applyBorder="1" applyFill="1" applyFont="1">
      <alignment horizontal="center" vertical="center"/>
    </xf>
    <xf borderId="0" fillId="0" fontId="12" numFmtId="0" xfId="0" applyAlignment="1" applyFont="1">
      <alignment horizontal="left" vertical="center"/>
    </xf>
    <xf borderId="3" fillId="0" fontId="13" numFmtId="0" xfId="0" applyAlignment="1" applyBorder="1" applyFont="1">
      <alignment horizontal="center" vertical="center"/>
    </xf>
    <xf borderId="4" fillId="4" fontId="14" numFmtId="0" xfId="0" applyAlignment="1" applyBorder="1" applyFill="1" applyFont="1">
      <alignment horizontal="left" vertical="center"/>
    </xf>
    <xf borderId="5" fillId="0" fontId="2" numFmtId="0" xfId="0" applyBorder="1" applyFont="1"/>
    <xf borderId="6" fillId="0" fontId="2" numFmtId="0" xfId="0" applyBorder="1" applyFont="1"/>
    <xf borderId="3" fillId="0" fontId="6" numFmtId="0" xfId="0" applyAlignment="1" applyBorder="1" applyFont="1">
      <alignment horizontal="center" vertical="center"/>
    </xf>
    <xf borderId="3" fillId="0" fontId="8" numFmtId="0" xfId="0" applyAlignment="1" applyBorder="1" applyFont="1">
      <alignment horizontal="left" vertical="center"/>
    </xf>
    <xf borderId="3" fillId="0" fontId="7" numFmtId="0" xfId="0" applyAlignment="1" applyBorder="1" applyFont="1">
      <alignment horizontal="center" vertical="center"/>
    </xf>
    <xf borderId="3" fillId="0" fontId="13" numFmtId="0" xfId="0" applyAlignment="1" applyBorder="1" applyFont="1">
      <alignment horizontal="left" vertical="center"/>
    </xf>
    <xf borderId="1" fillId="3" fontId="5" numFmtId="0" xfId="0" applyAlignment="1" applyBorder="1" applyFill="1" applyFont="1">
      <alignment horizontal="center" vertical="center"/>
    </xf>
    <xf borderId="7" fillId="3" fontId="5" numFmtId="0" xfId="0" applyAlignment="1" applyBorder="1" applyFill="1" applyFont="1">
      <alignment horizontal="center" vertical="center"/>
    </xf>
    <xf borderId="8" fillId="0" fontId="2" numFmtId="0" xfId="0" applyBorder="1" applyFont="1"/>
    <xf borderId="1" fillId="3" fontId="15" numFmtId="0" xfId="0" applyAlignment="1" applyBorder="1" applyFill="1" applyFont="1">
      <alignment horizontal="center" vertical="center"/>
    </xf>
    <xf borderId="9" fillId="0" fontId="2" numFmtId="0" xfId="0" applyBorder="1" applyFont="1"/>
    <xf borderId="10" fillId="4" fontId="16" numFmtId="0" xfId="0" applyAlignment="1" applyBorder="1" applyFill="1" applyFont="1">
      <alignment horizontal="left" vertical="center"/>
    </xf>
    <xf borderId="11" fillId="0" fontId="2" numFmtId="0" xfId="0" applyBorder="1" applyFont="1"/>
    <xf borderId="3" fillId="0" fontId="17" numFmtId="0" xfId="0" applyAlignment="1" applyBorder="1" applyFont="1">
      <alignment horizontal="left" vertical="center"/>
    </xf>
    <xf borderId="3" fillId="5" fontId="11" numFmtId="0" xfId="0" applyAlignment="1" applyBorder="1" applyFill="1" applyFont="1">
      <alignment horizontal="left" vertical="center"/>
    </xf>
    <xf borderId="12" fillId="0" fontId="4" numFmtId="0" xfId="0" applyBorder="1" applyFont="1"/>
    <xf borderId="13" fillId="0" fontId="17" numFmtId="0" xfId="0" applyAlignment="1" applyBorder="1" applyFont="1">
      <alignment horizontal="left" vertical="center"/>
    </xf>
    <xf borderId="13" fillId="5" fontId="11" numFmtId="0" xfId="0" applyAlignment="1" applyBorder="1" applyFill="1" applyFont="1">
      <alignment horizontal="left" vertical="center"/>
    </xf>
    <xf borderId="14" fillId="0" fontId="4" numFmtId="0" xfId="0" applyBorder="1" applyFont="1"/>
    <xf borderId="3" fillId="6" fontId="17" numFmtId="0" xfId="0" applyAlignment="1" applyBorder="1" applyFill="1" applyFont="1">
      <alignment horizontal="left" vertical="center"/>
    </xf>
    <xf borderId="15" fillId="0" fontId="4" numFmtId="0" xfId="0" applyBorder="1" applyFont="1"/>
    <xf borderId="13" fillId="7" fontId="11" numFmtId="0" xfId="0" applyAlignment="1" applyBorder="1" applyFill="1" applyFont="1">
      <alignment horizontal="left" vertical="center"/>
    </xf>
    <xf borderId="3" fillId="7" fontId="11" numFmtId="0" xfId="0" applyAlignment="1" applyBorder="1" applyFill="1" applyFont="1">
      <alignment horizontal="left" vertical="center"/>
    </xf>
    <xf borderId="16" fillId="0" fontId="4" numFmtId="0" xfId="0" applyBorder="1" applyFont="1"/>
    <xf borderId="3" fillId="8" fontId="6" numFmtId="0" xfId="0" applyAlignment="1" applyBorder="1" applyFill="1" applyFont="1">
      <alignment horizontal="center" vertical="center"/>
    </xf>
    <xf borderId="3" fillId="8" fontId="6" numFmtId="0" xfId="0" applyAlignment="1" applyBorder="1" applyFill="1" applyFont="1">
      <alignment horizontal="left" vertical="center"/>
    </xf>
    <xf borderId="3" fillId="8" fontId="18" numFmtId="0" xfId="0" applyAlignment="1" applyBorder="1" applyFill="1" applyFont="1">
      <alignment horizontal="center" vertical="center"/>
    </xf>
    <xf borderId="3" fillId="8" fontId="13" numFmtId="0" xfId="0" applyAlignment="1" applyBorder="1" applyFill="1" applyFont="1">
      <alignment horizontal="center" vertical="center"/>
    </xf>
    <xf borderId="3" fillId="9" fontId="6" numFmtId="0" xfId="0" applyAlignment="1" applyBorder="1" applyFill="1" applyFont="1">
      <alignment horizontal="center" vertical="center"/>
    </xf>
    <xf borderId="3" fillId="9" fontId="6" numFmtId="0" xfId="0" applyAlignment="1" applyBorder="1" applyFill="1" applyFont="1">
      <alignment horizontal="left" vertical="center"/>
    </xf>
    <xf borderId="4" fillId="8" fontId="19" numFmtId="0" xfId="0" applyAlignment="1" applyBorder="1" applyFill="1" applyFont="1">
      <alignment horizontal="left" vertical="center"/>
    </xf>
    <xf borderId="3" fillId="9" fontId="18" numFmtId="0" xfId="0" applyAlignment="1" applyBorder="1" applyFill="1" applyFont="1">
      <alignment horizontal="center" vertical="center"/>
    </xf>
    <xf borderId="3" fillId="8" fontId="17" numFmtId="0" xfId="0" applyAlignment="1" applyBorder="1" applyFill="1" applyFont="1">
      <alignment horizontal="left" vertical="center"/>
    </xf>
    <xf borderId="3" fillId="8" fontId="20" numFmtId="0" xfId="0" applyAlignment="1" applyBorder="1" applyFill="1" applyFont="1">
      <alignment horizontal="left" vertical="center"/>
    </xf>
    <xf borderId="4" fillId="9" fontId="21" numFmtId="0" xfId="0" applyAlignment="1" applyBorder="1" applyFill="1" applyFont="1">
      <alignment horizontal="left" vertical="center"/>
    </xf>
    <xf borderId="3" fillId="9" fontId="13" numFmtId="0" xfId="0" applyAlignment="1" applyBorder="1" applyFill="1" applyFont="1">
      <alignment horizontal="center" vertical="center"/>
    </xf>
    <xf borderId="3" fillId="10" fontId="6" numFmtId="0" xfId="0" applyAlignment="1" applyBorder="1" applyFill="1" applyFont="1">
      <alignment horizontal="center" vertical="center"/>
    </xf>
    <xf borderId="3" fillId="10" fontId="6" numFmtId="0" xfId="0" applyAlignment="1" applyBorder="1" applyFill="1" applyFont="1">
      <alignment horizontal="left" vertical="center"/>
    </xf>
    <xf borderId="3" fillId="10" fontId="18" numFmtId="0" xfId="0" applyAlignment="1" applyBorder="1" applyFill="1" applyFont="1">
      <alignment horizontal="center" vertical="center"/>
    </xf>
    <xf borderId="3" fillId="9" fontId="17" numFmtId="0" xfId="0" applyAlignment="1" applyBorder="1" applyFill="1" applyFont="1">
      <alignment horizontal="left" vertical="center"/>
    </xf>
    <xf borderId="3" fillId="9" fontId="22" numFmtId="0" xfId="0" applyAlignment="1" applyBorder="1" applyFill="1" applyFont="1">
      <alignment horizontal="left" vertical="center"/>
    </xf>
    <xf borderId="10" fillId="10" fontId="16" numFmtId="0" xfId="0" applyAlignment="1" applyBorder="1" applyFill="1" applyFont="1">
      <alignment horizontal="left" vertical="center"/>
    </xf>
    <xf borderId="3" fillId="10" fontId="13" numFmtId="0" xfId="0" applyAlignment="1" applyBorder="1" applyFill="1" applyFont="1">
      <alignment horizontal="center" vertical="center"/>
    </xf>
    <xf borderId="4" fillId="10" fontId="23" numFmtId="0" xfId="0" applyAlignment="1" applyBorder="1" applyFill="1" applyFont="1">
      <alignment horizontal="left" vertical="center"/>
    </xf>
    <xf borderId="3" fillId="10" fontId="17" numFmtId="0" xfId="0" applyAlignment="1" applyBorder="1" applyFill="1" applyFont="1">
      <alignment horizontal="left" vertical="center"/>
    </xf>
    <xf borderId="3" fillId="10" fontId="20" numFmtId="0" xfId="0" applyAlignment="1" applyBorder="1" applyFill="1" applyFont="1">
      <alignment horizontal="left" vertical="center"/>
    </xf>
    <xf borderId="13" fillId="0" fontId="13" numFmtId="0" xfId="0" applyAlignment="1" applyBorder="1" applyFont="1">
      <alignment horizontal="left" vertical="center"/>
    </xf>
    <xf borderId="3" fillId="0" fontId="18" numFmtId="0" xfId="0" applyAlignment="1" applyBorder="1" applyFont="1">
      <alignment horizontal="center" vertical="center"/>
    </xf>
    <xf borderId="0" fillId="0" fontId="24" numFmtId="0" xfId="0" applyFont="1"/>
    <xf borderId="4" fillId="11" fontId="14" numFmtId="0" xfId="0" applyAlignment="1" applyBorder="1" applyFill="1" applyFont="1">
      <alignment horizontal="left" vertical="center"/>
    </xf>
    <xf borderId="13" fillId="6" fontId="17" numFmtId="0" xfId="0" applyAlignment="1" applyBorder="1" applyFill="1" applyFont="1">
      <alignment horizontal="left" vertical="center"/>
    </xf>
    <xf borderId="4" fillId="5" fontId="14" numFmtId="0" xfId="0" applyAlignment="1" applyBorder="1" applyFill="1" applyFont="1">
      <alignment horizontal="left" vertical="center"/>
    </xf>
    <xf borderId="4" fillId="6" fontId="14"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4" fontId="6" numFmtId="0" xfId="0" applyAlignment="1" applyBorder="1" applyFill="1" applyFont="1">
      <alignment horizontal="left" vertical="center"/>
    </xf>
    <xf borderId="3" fillId="5" fontId="11" numFmtId="0" xfId="0" applyAlignment="1" applyBorder="1" applyFill="1" applyFont="1">
      <alignment horizontal="center" readingOrder="0" vertical="center"/>
    </xf>
    <xf borderId="3" fillId="7" fontId="11" numFmtId="0" xfId="0" applyAlignment="1" applyBorder="1" applyFill="1" applyFont="1">
      <alignment horizontal="lef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1</v>
      </c>
    </row>
    <row r="3">
      <c r="A3" s="4"/>
      <c r="B3" s="4"/>
      <c r="C3" s="4"/>
      <c r="D3" s="4"/>
      <c r="E3" s="4"/>
      <c r="F3" s="4"/>
      <c r="G3" s="4"/>
      <c r="H3" s="4"/>
      <c r="I3" s="4"/>
      <c r="J3" s="4"/>
    </row>
    <row r="4">
      <c r="A4" s="5" t="s">
        <v>2</v>
      </c>
      <c r="B4" s="5" t="s">
        <v>3</v>
      </c>
      <c r="C4" s="5" t="s">
        <v>4</v>
      </c>
      <c r="D4" s="5" t="s">
        <v>5</v>
      </c>
      <c r="E4" s="5" t="s">
        <v>6</v>
      </c>
      <c r="F4" s="5" t="s">
        <v>7</v>
      </c>
      <c r="G4" s="5" t="s">
        <v>8</v>
      </c>
      <c r="H4" s="5" t="s">
        <v>9</v>
      </c>
      <c r="I4" s="5" t="s">
        <v>10</v>
      </c>
      <c r="J4" s="5" t="s">
        <v>11</v>
      </c>
    </row>
    <row r="5">
      <c r="A5" s="6" t="s">
        <v>12</v>
      </c>
      <c r="B5" s="7" t="s">
        <v>12</v>
      </c>
      <c r="C5" s="8">
        <v>31.0</v>
      </c>
      <c r="D5" s="8">
        <v>31.0</v>
      </c>
      <c r="E5" s="8">
        <v>1.0</v>
      </c>
      <c r="F5" s="8" t="s">
        <v>13</v>
      </c>
      <c r="G5" s="8" t="s">
        <v>14</v>
      </c>
      <c r="H5" s="9" t="str">
        <f>IF(Chess!V37="","—",Chess!V37)</f>
        <v>—</v>
      </c>
      <c r="I5" s="9" t="str">
        <f>IF(Chess!V37="","—",IF(Chess!V37=Chess!R37,Chess!R38&amp;"",IF(Chess!V37=Chess!R38,Chess!R37&amp;"","—")))</f>
        <v>—</v>
      </c>
      <c r="J5" s="9" t="str">
        <f>IF(Chess!V42="","—",Chess!V42)</f>
        <v>Hrishikesh</v>
      </c>
    </row>
    <row r="6">
      <c r="A6" s="6" t="s">
        <v>15</v>
      </c>
      <c r="B6" s="7" t="s">
        <v>16</v>
      </c>
      <c r="C6" s="8">
        <v>31.0</v>
      </c>
      <c r="D6" s="8">
        <v>31.0</v>
      </c>
      <c r="E6" s="8">
        <v>1.0</v>
      </c>
      <c r="F6" s="8" t="s">
        <v>13</v>
      </c>
      <c r="G6" s="8" t="s">
        <v>14</v>
      </c>
      <c r="H6" s="9" t="str">
        <f>IF(Carroms!V37="","—",Carroms!V37)</f>
        <v>—</v>
      </c>
      <c r="I6" s="9" t="str">
        <f>IF(Carroms!V37="","—",IF(Carroms!V37=Carroms!R37,Carroms!R38&amp;"",IF(Carroms!V37=Carroms!R38,Carroms!R37&amp;"","—")))</f>
        <v>—</v>
      </c>
      <c r="J6" s="9" t="str">
        <f>IF(Carroms!V42="","—",Carroms!V42)</f>
        <v>—</v>
      </c>
    </row>
    <row r="7">
      <c r="A7" s="6" t="s">
        <v>17</v>
      </c>
      <c r="B7" s="7" t="s">
        <v>18</v>
      </c>
      <c r="C7" s="8">
        <v>22.0</v>
      </c>
      <c r="D7" s="8">
        <v>22.0</v>
      </c>
      <c r="E7" s="8">
        <v>10.0</v>
      </c>
      <c r="F7" s="8" t="s">
        <v>13</v>
      </c>
      <c r="G7" s="8" t="s">
        <v>14</v>
      </c>
      <c r="H7" s="9" t="str">
        <f>IF('TT MS'!V33="","—",'TT MS'!V33)</f>
        <v>—</v>
      </c>
      <c r="I7" s="9" t="str">
        <f>IF('TT MS'!V33="","—",IF('TT MS'!V33='TT MS'!R33,'TT MS'!R34&amp;"",IF('TT MS'!V33='TT MS'!R34,'TT MS'!R33&amp;"","—")))</f>
        <v>—</v>
      </c>
      <c r="J7" s="9" t="str">
        <f>IF('TT MS'!V38="","—",'TT MS'!V38)</f>
        <v>Amit</v>
      </c>
    </row>
    <row r="8">
      <c r="A8" s="6" t="s">
        <v>19</v>
      </c>
      <c r="B8" s="7" t="s">
        <v>20</v>
      </c>
      <c r="C8" s="8">
        <v>8.0</v>
      </c>
      <c r="D8" s="8">
        <v>8.0</v>
      </c>
      <c r="E8" s="8">
        <v>0.0</v>
      </c>
      <c r="F8" s="8" t="s">
        <v>21</v>
      </c>
      <c r="G8" s="8" t="s">
        <v>14</v>
      </c>
      <c r="H8" s="9" t="str">
        <f>IF('TT WS'!N13="","—",'TT WS'!N13)</f>
        <v>—</v>
      </c>
      <c r="I8" s="9" t="str">
        <f>IF('TT WS'!N13="","—",IF('TT WS'!N13='TT WS'!J13,'TT WS'!J14&amp;"",IF('TT WS'!N13='TT WS'!J14,'TT WS'!J13&amp;"","—")))</f>
        <v>—</v>
      </c>
      <c r="J8" s="9" t="str">
        <f>IF('TT WS'!N18="","—",'TT WS'!N18)</f>
        <v>—</v>
      </c>
    </row>
    <row r="9">
      <c r="A9" s="6" t="s">
        <v>130</v>
      </c>
      <c r="B9" s="7" t="s">
        <v>147</v>
      </c>
      <c r="C9" s="8">
        <v>13.0</v>
      </c>
      <c r="D9" s="8">
        <v>13.0</v>
      </c>
      <c r="E9" s="8">
        <v>3.0</v>
      </c>
      <c r="F9" s="8" t="s">
        <v>13</v>
      </c>
      <c r="G9" s="8" t="s">
        <v>14</v>
      </c>
      <c r="H9" s="9" t="str">
        <f>IF('TT MD'!R21="","—",'TT MD'!R21)</f>
        <v>—</v>
      </c>
      <c r="I9" s="9" t="str">
        <f>IF('TT MD'!R21="","—",IF('TT MD'!R21='TT MD'!N21,'TT MD'!N22&amp;"",IF('TT MD'!R21='TT MD'!N22,'TT MD'!N21&amp;"","—")))</f>
        <v>—</v>
      </c>
      <c r="J9" s="9" t="str">
        <f>IF('TT MD'!R26="","—",'TT MD'!R26)</f>
        <v>Thomas &amp; Ray</v>
      </c>
    </row>
    <row r="10">
      <c r="A10" s="6" t="s">
        <v>143</v>
      </c>
      <c r="B10" s="7" t="s">
        <v>151</v>
      </c>
      <c r="C10" s="8">
        <v>4.0</v>
      </c>
      <c r="D10" s="8">
        <v>4.0</v>
      </c>
      <c r="E10" s="8">
        <v>0.0</v>
      </c>
      <c r="F10" s="8" t="s">
        <v>152</v>
      </c>
      <c r="G10" s="8" t="s">
        <v>14</v>
      </c>
      <c r="H10" s="9" t="str">
        <f>IF('TT WD'!J9="","—",'TT WD'!J9)</f>
        <v>—</v>
      </c>
      <c r="I10" s="9" t="str">
        <f>IF('TT WD'!J9="","—",IF('TT WD'!J9='TT WD'!F9,'TT WD'!F10&amp;"",IF('TT WD'!J9='TT WD'!F10,'TT WD'!F9&amp;"","—")))</f>
        <v>—</v>
      </c>
      <c r="J10" s="9" t="str">
        <f>IF('TT WD'!J14="","—",'TT WD'!J14)</f>
        <v>Neethu &amp; Nivya Mathew</v>
      </c>
    </row>
    <row r="11">
      <c r="A11" s="6" t="s">
        <v>154</v>
      </c>
      <c r="B11" s="7" t="s">
        <v>155</v>
      </c>
      <c r="C11" s="8">
        <v>12.0</v>
      </c>
      <c r="D11" s="8">
        <v>12.0</v>
      </c>
      <c r="E11" s="8">
        <v>4.0</v>
      </c>
      <c r="F11" s="8" t="s">
        <v>156</v>
      </c>
      <c r="G11" s="8" t="s">
        <v>156</v>
      </c>
      <c r="H11" s="9" t="str">
        <f>IF('Badminton MS'!R21="","—",'Badminton MS'!R21)</f>
        <v>—</v>
      </c>
      <c r="I11" s="9" t="str">
        <f>IF('Badminton MS'!R21="","—",IF('Badminton MS'!R21='Badminton MS'!N21,'Badminton MS'!N22&amp;"",IF('Badminton MS'!R21='Badminton MS'!N22,'Badminton MS'!N21&amp;"","—")))</f>
        <v>—</v>
      </c>
      <c r="J11" s="9" t="str">
        <f>IF('Badminton MS'!R26="","—",'Badminton MS'!R26)</f>
        <v>—</v>
      </c>
    </row>
    <row r="12">
      <c r="A12" s="6" t="s">
        <v>195</v>
      </c>
      <c r="B12" s="7" t="s">
        <v>222</v>
      </c>
      <c r="C12" s="8">
        <v>12.0</v>
      </c>
      <c r="D12" s="8">
        <v>12.0</v>
      </c>
      <c r="E12" s="8">
        <v>4.0</v>
      </c>
      <c r="F12" s="8" t="s">
        <v>156</v>
      </c>
      <c r="G12" s="8" t="s">
        <v>156</v>
      </c>
      <c r="H12" s="9" t="str">
        <f>IF('Badminton WS'!R21="","—",'Badminton WS'!R21)</f>
        <v>—</v>
      </c>
      <c r="I12" s="9" t="str">
        <f>IF('Badminton WS'!R21="","—",IF('Badminton WS'!R21='Badminton WS'!N21,'Badminton WS'!N22&amp;"",IF('Badminton WS'!R21='Badminton WS'!N22,'Badminton WS'!N21&amp;"","—")))</f>
        <v>—</v>
      </c>
      <c r="J12" s="9" t="str">
        <f>IF('Badminton WS'!R26="","—",'Badminton WS'!R26)</f>
        <v>—</v>
      </c>
    </row>
    <row r="13">
      <c r="A13" s="6" t="s">
        <v>200</v>
      </c>
      <c r="B13" s="7" t="s">
        <v>223</v>
      </c>
      <c r="C13" s="8">
        <v>12.0</v>
      </c>
      <c r="D13" s="8">
        <v>12.0</v>
      </c>
      <c r="E13" s="8">
        <v>4.0</v>
      </c>
      <c r="F13" s="8" t="s">
        <v>156</v>
      </c>
      <c r="G13" s="8" t="s">
        <v>156</v>
      </c>
      <c r="H13" s="9" t="str">
        <f>IF('Badminton MD'!R21="","—",'Badminton MD'!R21)</f>
        <v>—</v>
      </c>
      <c r="I13" s="9" t="str">
        <f>IF('Badminton MD'!R21="","—",IF('Badminton MD'!R21='Badminton MD'!N21,'Badminton MD'!N22&amp;"",IF('Badminton MD'!R21='Badminton MD'!N22,'Badminton MD'!N21&amp;"","—")))</f>
        <v>—</v>
      </c>
      <c r="J13" s="9" t="str">
        <f>IF('Badminton MD'!R26="","—",'Badminton MD'!R26)</f>
        <v>—</v>
      </c>
    </row>
    <row r="14">
      <c r="A14" s="6" t="s">
        <v>203</v>
      </c>
      <c r="B14" s="7" t="s">
        <v>224</v>
      </c>
      <c r="C14" s="8">
        <v>12.0</v>
      </c>
      <c r="D14" s="8">
        <v>12.0</v>
      </c>
      <c r="E14" s="8">
        <v>4.0</v>
      </c>
      <c r="F14" s="8" t="s">
        <v>156</v>
      </c>
      <c r="G14" s="8" t="s">
        <v>156</v>
      </c>
      <c r="H14" s="9" t="str">
        <f>IF('Badminton WD'!R21="","—",'Badminton WD'!R21)</f>
        <v>—</v>
      </c>
      <c r="I14" s="9" t="str">
        <f>IF('Badminton WD'!R21="","—",IF('Badminton WD'!R21='Badminton WD'!N21,'Badminton WD'!N22&amp;"",IF('Badminton WD'!R21='Badminton WD'!N22,'Badminton WD'!N21&amp;"","—")))</f>
        <v>—</v>
      </c>
      <c r="J14" s="9" t="str">
        <f>IF('Badminton WD'!R26="","—",'Badminton WD'!R26)</f>
        <v>—</v>
      </c>
    </row>
    <row r="15">
      <c r="A15" s="6" t="s">
        <v>207</v>
      </c>
      <c r="B15" s="7" t="s">
        <v>207</v>
      </c>
      <c r="C15" s="8">
        <v>6.0</v>
      </c>
      <c r="D15" s="8">
        <v>10.0</v>
      </c>
      <c r="E15" s="8">
        <v>0.0</v>
      </c>
      <c r="F15" s="8" t="s">
        <v>225</v>
      </c>
      <c r="G15" s="8" t="s">
        <v>226</v>
      </c>
      <c r="H15" s="9" t="str">
        <f>IF(Cricket!Y11="","—",Cricket!Y11)</f>
        <v>—</v>
      </c>
      <c r="I15" s="9" t="str">
        <f>IF(Cricket!Y11="","—",IF(Cricket!Y11=Cricket!T11,Cricket!T12&amp;"",IF(Cricket!Y11=Cricket!T12,Cricket!T11&amp;"","—")))</f>
        <v>—</v>
      </c>
      <c r="J15" s="9" t="str">
        <f>IF(Cricket!Y17="","—",Cricket!Y17)</f>
        <v>—</v>
      </c>
    </row>
    <row r="16">
      <c r="A16" s="6" t="s">
        <v>212</v>
      </c>
      <c r="B16" s="7" t="s">
        <v>212</v>
      </c>
      <c r="C16" s="8">
        <v>6.0</v>
      </c>
      <c r="D16" s="8">
        <v>10.0</v>
      </c>
      <c r="E16" s="8">
        <v>0.0</v>
      </c>
      <c r="F16" s="8" t="s">
        <v>228</v>
      </c>
      <c r="G16" s="8" t="s">
        <v>226</v>
      </c>
      <c r="H16" s="9" t="str">
        <f>IF(Football!Y11="","—",Football!Y11)</f>
        <v>—</v>
      </c>
      <c r="I16" s="9" t="str">
        <f>IF(Football!Y11="","—",IF(Football!Y11=Football!T11,Football!T12&amp;"",IF(Football!Y11=Football!T12,Football!T11&amp;"","—")))</f>
        <v>—</v>
      </c>
      <c r="J16" s="9" t="str">
        <f>IF(Football!Y17="","—",Football!Y17)</f>
        <v>—</v>
      </c>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13" t="s">
        <v>232</v>
      </c>
      <c r="B20" s="4"/>
      <c r="C20" s="4"/>
      <c r="D20" s="4"/>
      <c r="E20" s="4"/>
      <c r="F20" s="4"/>
      <c r="G20" s="4"/>
      <c r="H20" s="4"/>
      <c r="I20" s="4"/>
      <c r="J20" s="4"/>
    </row>
    <row r="21" ht="15.75" customHeight="1">
      <c r="A21" s="13" t="s">
        <v>233</v>
      </c>
      <c r="B21" s="4"/>
      <c r="C21" s="4"/>
      <c r="D21" s="4"/>
      <c r="E21" s="4"/>
      <c r="F21" s="4"/>
      <c r="G21" s="4"/>
      <c r="H21" s="4"/>
      <c r="I21" s="4"/>
      <c r="J21" s="4"/>
    </row>
    <row r="22" ht="15.75" customHeight="1">
      <c r="A22" s="13" t="s">
        <v>234</v>
      </c>
      <c r="B22" s="4"/>
      <c r="C22" s="4"/>
      <c r="D22" s="4"/>
      <c r="E22" s="4"/>
      <c r="F22" s="4"/>
      <c r="G22" s="4"/>
      <c r="H22" s="4"/>
      <c r="I22" s="4"/>
      <c r="J22" s="4"/>
    </row>
    <row r="23" ht="15.75" customHeight="1">
      <c r="A23" s="13" t="s">
        <v>235</v>
      </c>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22</v>
      </c>
      <c r="B1" s="2"/>
      <c r="C1" s="2"/>
      <c r="D1" s="2"/>
      <c r="E1" s="2"/>
      <c r="F1" s="2"/>
      <c r="G1" s="2"/>
      <c r="H1" s="2"/>
      <c r="I1" s="2"/>
      <c r="J1" s="2"/>
      <c r="K1" s="4"/>
      <c r="L1" s="4"/>
    </row>
    <row r="2">
      <c r="A2" s="3" t="s">
        <v>23</v>
      </c>
      <c r="K2" s="4"/>
      <c r="L2" s="4"/>
    </row>
    <row r="3">
      <c r="A3" s="4"/>
      <c r="B3" s="4"/>
      <c r="C3" s="4"/>
      <c r="D3" s="4"/>
      <c r="E3" s="4"/>
      <c r="F3" s="4"/>
      <c r="G3" s="4"/>
      <c r="H3" s="4"/>
      <c r="I3" s="4"/>
      <c r="J3" s="4"/>
      <c r="K3" s="4"/>
      <c r="L3" s="4"/>
    </row>
    <row r="4">
      <c r="A4" s="10" t="s">
        <v>24</v>
      </c>
      <c r="B4" s="4"/>
      <c r="C4" s="4"/>
      <c r="D4" s="4"/>
      <c r="E4" s="4"/>
      <c r="F4" s="4"/>
      <c r="G4" s="4"/>
      <c r="H4" s="4"/>
      <c r="I4" s="4"/>
      <c r="J4" s="4"/>
      <c r="K4" s="4"/>
      <c r="L4" s="4"/>
    </row>
    <row r="5">
      <c r="A5" s="11" t="s">
        <v>25</v>
      </c>
      <c r="B5" s="12">
        <v>10.0</v>
      </c>
      <c r="C5" s="11" t="s">
        <v>26</v>
      </c>
      <c r="D5" s="12">
        <v>7.0</v>
      </c>
      <c r="E5" s="11" t="s">
        <v>27</v>
      </c>
      <c r="F5" s="12">
        <v>5.0</v>
      </c>
      <c r="G5" s="11" t="s">
        <v>28</v>
      </c>
      <c r="H5" s="12">
        <v>3.0</v>
      </c>
      <c r="I5" s="4"/>
      <c r="J5" s="4"/>
      <c r="K5" s="4"/>
      <c r="L5" s="4"/>
    </row>
    <row r="6">
      <c r="A6" s="13" t="s">
        <v>29</v>
      </c>
      <c r="B6" s="4"/>
      <c r="C6" s="4"/>
      <c r="D6" s="4"/>
      <c r="E6" s="4"/>
      <c r="F6" s="4"/>
      <c r="G6" s="4"/>
      <c r="H6" s="4"/>
      <c r="I6" s="4"/>
      <c r="J6" s="4"/>
      <c r="K6" s="4"/>
      <c r="L6" s="4"/>
    </row>
    <row r="7">
      <c r="A7" s="4"/>
      <c r="B7" s="4"/>
      <c r="C7" s="4"/>
      <c r="D7" s="4"/>
      <c r="E7" s="4"/>
      <c r="F7" s="4"/>
      <c r="G7" s="4"/>
      <c r="H7" s="4"/>
      <c r="I7" s="4"/>
      <c r="J7" s="4"/>
      <c r="K7" s="4"/>
      <c r="L7" s="4"/>
    </row>
    <row r="8">
      <c r="A8" s="10" t="s">
        <v>30</v>
      </c>
      <c r="B8" s="4"/>
      <c r="C8" s="4"/>
      <c r="D8" s="4"/>
      <c r="E8" s="4"/>
      <c r="F8" s="4"/>
      <c r="G8" s="10" t="s">
        <v>31</v>
      </c>
      <c r="K8" s="4"/>
      <c r="L8" s="4"/>
    </row>
    <row r="9">
      <c r="A9" s="5" t="s">
        <v>2</v>
      </c>
      <c r="B9" s="5" t="s">
        <v>25</v>
      </c>
      <c r="C9" s="5" t="s">
        <v>26</v>
      </c>
      <c r="D9" s="5" t="s">
        <v>27</v>
      </c>
      <c r="E9" s="5" t="s">
        <v>28</v>
      </c>
      <c r="F9" s="4"/>
      <c r="G9" s="5" t="s">
        <v>32</v>
      </c>
      <c r="H9" s="5" t="s">
        <v>33</v>
      </c>
      <c r="I9" s="5" t="s">
        <v>34</v>
      </c>
      <c r="J9" s="5" t="s">
        <v>35</v>
      </c>
      <c r="K9" s="4"/>
      <c r="L9" s="4"/>
    </row>
    <row r="10">
      <c r="A10" s="6" t="s">
        <v>12</v>
      </c>
      <c r="B10" s="14" t="str">
        <f>IF(Chess!V37="","",Chess!U37)</f>
        <v/>
      </c>
      <c r="C10" s="14" t="str">
        <f>IF(Chess!V37="","",IF(Chess!V37=Chess!R37,Chess!Q38,IF(Chess!V37=Chess!R38,Chess!Q37,"")))</f>
        <v/>
      </c>
      <c r="D10" s="14" t="str">
        <f>IF(Chess!V42="","",Chess!U42)</f>
        <v>Team 6</v>
      </c>
      <c r="E10" s="14" t="str">
        <f>IF(Chess!V42="","",IF(Chess!V42=Chess!R42,Chess!Q43,IF(Chess!V42=Chess!R43,Chess!Q42,"")))</f>
        <v>Team 5</v>
      </c>
      <c r="F10" s="4"/>
      <c r="G10" s="40">
        <f t="array" ref="G10">INDEX($H$25:$H$30,MATCH(LARGE($L$25:$L$30,1),$L$25:$L$30,0))</f>
        <v>1</v>
      </c>
      <c r="H10" s="41" t="str">
        <f t="array" ref="H10">INDEX($A$25:$A$30,MATCH(LARGE($L$25:$L$30,1),$L$25:$L$30,0))&amp;" – "&amp;INDEX($B$25:$B$30,MATCH(LARGE($L$25:$L$30,1),$L$25:$L$30,0))</f>
        <v>Team 1 – Rajarajeshwari United</v>
      </c>
      <c r="I10" s="42">
        <f t="array" ref="I10">INDEX($G$25:$G$30,MATCH(LARGE($L$25:$L$30,1),$L$25:$L$30,0))</f>
        <v>10</v>
      </c>
      <c r="J10" s="43" t="str">
        <f t="array" ref="J10">INDEX($C$25:$C$30,MATCH(LARGE($L$25:$L$30,1),$L$25:$L$30,0))&amp;" / "&amp;INDEX($D$25:$D$30,MATCH(LARGE($L$25:$L$30,1),$L$25:$L$30,0))&amp;" / "&amp;INDEX($E$25:$E$30,MATCH(LARGE($L$25:$L$30,1),$L$25:$L$30,0))&amp;" / "&amp;INDEX($F$25:$F$30,MATCH(LARGE($L$25:$L$30,1),$L$25:$L$30,0))</f>
        <v>0 / 0 / 2 / 0</v>
      </c>
      <c r="K10" s="4"/>
      <c r="L10" s="4"/>
    </row>
    <row r="11">
      <c r="A11" s="6" t="s">
        <v>15</v>
      </c>
      <c r="B11" s="14" t="str">
        <f>IF(Carroms!V37="","",Carroms!U37)</f>
        <v/>
      </c>
      <c r="C11" s="14" t="str">
        <f>IF(Carroms!V37="","",IF(Carroms!V37=Carroms!R37,Carroms!Q38,IF(Carroms!V37=Carroms!R38,Carroms!Q37,"")))</f>
        <v/>
      </c>
      <c r="D11" s="14" t="str">
        <f>IF(Carroms!V42="","",Carroms!U42)</f>
        <v/>
      </c>
      <c r="E11" s="14" t="str">
        <f>IF(Carroms!V42="","",IF(Carroms!V42=Carroms!R42,Carroms!Q43,IF(Carroms!V42=Carroms!R43,Carroms!Q42,"")))</f>
        <v/>
      </c>
      <c r="F11" s="4"/>
      <c r="G11" s="44">
        <f t="array" ref="G11">INDEX($H$25:$H$30,MATCH(LARGE($L$25:$L$30,2),$L$25:$L$30,0))</f>
        <v>2</v>
      </c>
      <c r="H11" s="45" t="str">
        <f t="array" ref="H11">INDEX($A$25:$A$30,MATCH(LARGE($L$25:$L$30,2),$L$25:$L$30,0))&amp;" – "&amp;INDEX($B$25:$B$30,MATCH(LARGE($L$25:$L$30,2),$L$25:$L$30,0))</f>
        <v>Team 2 – Jeem Boom Baa</v>
      </c>
      <c r="I11" s="47">
        <f t="array" ref="I11">INDEX($G$25:$G$30,MATCH(LARGE($L$25:$L$30,2),$L$25:$L$30,0))</f>
        <v>8</v>
      </c>
      <c r="J11" s="51" t="str">
        <f t="array" ref="J11">INDEX($C$25:$C$30,MATCH(LARGE($L$25:$L$30,2),$L$25:$L$30,0))&amp;" / "&amp;INDEX($D$25:$D$30,MATCH(LARGE($L$25:$L$30,2),$L$25:$L$30,0))&amp;" / "&amp;INDEX($E$25:$E$30,MATCH(LARGE($L$25:$L$30,2),$L$25:$L$30,0))&amp;" / "&amp;INDEX($F$25:$F$30,MATCH(LARGE($L$25:$L$30,2),$L$25:$L$30,0))</f>
        <v>0 / 0 / 1 / 1</v>
      </c>
      <c r="K11" s="4"/>
      <c r="L11" s="4"/>
    </row>
    <row r="12">
      <c r="A12" s="6" t="s">
        <v>17</v>
      </c>
      <c r="B12" s="14" t="str">
        <f>IF('TT MS'!V33="","",'TT MS'!U33)</f>
        <v/>
      </c>
      <c r="C12" s="14" t="str">
        <f>IF('TT MS'!V33="","",IF('TT MS'!V33='TT MS'!R33,'TT MS'!Q34,IF('TT MS'!V33='TT MS'!R34,'TT MS'!Q33,"")))</f>
        <v/>
      </c>
      <c r="D12" s="14" t="str">
        <f>IF('TT MS'!V38="","",'TT MS'!U38)</f>
        <v>Team 1</v>
      </c>
      <c r="E12" s="14" t="str">
        <f>IF('TT MS'!V38="","",IF('TT MS'!V38='TT MS'!R38,'TT MS'!Q39,IF('TT MS'!V38='TT MS'!R39,'TT MS'!Q38,"")))</f>
        <v>Team 2</v>
      </c>
      <c r="F12" s="4"/>
      <c r="G12" s="52">
        <f t="array" ref="G12">INDEX($H$25:$H$30,MATCH(LARGE($L$25:$L$30,3),$L$25:$L$30,0))</f>
        <v>3</v>
      </c>
      <c r="H12" s="53" t="str">
        <f t="array" ref="H12">INDEX($A$25:$A$30,MATCH(LARGE($L$25:$L$30,3),$L$25:$L$30,0))&amp;" – "&amp;INDEX($B$25:$B$30,MATCH(LARGE($L$25:$L$30,3),$L$25:$L$30,0))</f>
        <v>Team 6 – Aaram Thamburan</v>
      </c>
      <c r="I12" s="54">
        <f t="array" ref="I12">INDEX($G$25:$G$30,MATCH(LARGE($L$25:$L$30,3),$L$25:$L$30,0))</f>
        <v>5</v>
      </c>
      <c r="J12" s="58" t="str">
        <f t="array" ref="J12">INDEX($C$25:$C$30,MATCH(LARGE($L$25:$L$30,3),$L$25:$L$30,0))&amp;" / "&amp;INDEX($D$25:$D$30,MATCH(LARGE($L$25:$L$30,3),$L$25:$L$30,0))&amp;" / "&amp;INDEX($E$25:$E$30,MATCH(LARGE($L$25:$L$30,3),$L$25:$L$30,0))&amp;" / "&amp;INDEX($F$25:$F$30,MATCH(LARGE($L$25:$L$30,3),$L$25:$L$30,0))</f>
        <v>0 / 0 / 1 / 0</v>
      </c>
      <c r="K12" s="4"/>
      <c r="L12" s="4"/>
    </row>
    <row r="13">
      <c r="A13" s="6" t="s">
        <v>19</v>
      </c>
      <c r="B13" s="14" t="str">
        <f>IF('TT WS'!N13="","",'TT WS'!M13)</f>
        <v/>
      </c>
      <c r="C13" s="14" t="str">
        <f>IF('TT WS'!N13="","",IF('TT WS'!N13='TT WS'!J13,'TT WS'!I14,IF('TT WS'!N13='TT WS'!J14,'TT WS'!I13,"")))</f>
        <v/>
      </c>
      <c r="D13" s="14" t="str">
        <f>IF('TT WS'!N18="","",'TT WS'!M18)</f>
        <v/>
      </c>
      <c r="E13" s="14" t="str">
        <f>IF('TT WS'!N18="","",IF('TT WS'!N18='TT WS'!J18,'TT WS'!I19,IF('TT WS'!N18='TT WS'!J19,'TT WS'!I18,"")))</f>
        <v/>
      </c>
      <c r="F13" s="4"/>
      <c r="G13" s="18">
        <f t="array" ref="G13">INDEX($H$25:$H$30,MATCH(LARGE($L$25:$L$30,4),$L$25:$L$30,0))</f>
        <v>4</v>
      </c>
      <c r="H13" s="6" t="str">
        <f t="array" ref="H13">INDEX($A$25:$A$30,MATCH(LARGE($L$25:$L$30,4),$L$25:$L$30,0))&amp;" – "&amp;INDEX($B$25:$B$30,MATCH(LARGE($L$25:$L$30,4),$L$25:$L$30,0))</f>
        <v>Team 3 – Dr. Dashamoolam</v>
      </c>
      <c r="I13" s="63">
        <f t="array" ref="I13">INDEX($G$25:$G$30,MATCH(LARGE($L$25:$L$30,4),$L$25:$L$30,0))</f>
        <v>3</v>
      </c>
      <c r="J13" s="14" t="str">
        <f t="array" ref="J13">INDEX($C$25:$C$30,MATCH(LARGE($L$25:$L$30,4),$L$25:$L$30,0))&amp;" / "&amp;INDEX($D$25:$D$30,MATCH(LARGE($L$25:$L$30,4),$L$25:$L$30,0))&amp;" / "&amp;INDEX($E$25:$E$30,MATCH(LARGE($L$25:$L$30,4),$L$25:$L$30,0))&amp;" / "&amp;INDEX($F$25:$F$30,MATCH(LARGE($L$25:$L$30,4),$L$25:$L$30,0))</f>
        <v>0 / 0 / 0 / 1</v>
      </c>
      <c r="K13" s="4"/>
      <c r="L13" s="4"/>
    </row>
    <row r="14">
      <c r="A14" s="6" t="s">
        <v>130</v>
      </c>
      <c r="B14" s="14" t="str">
        <f>IF('TT MD'!R21="","",'TT MD'!Q21)</f>
        <v/>
      </c>
      <c r="C14" s="14" t="str">
        <f>IF('TT MD'!R21="","",IF('TT MD'!R21='TT MD'!N21,'TT MD'!M22,IF('TT MD'!R21='TT MD'!N22,'TT MD'!M21,"")))</f>
        <v/>
      </c>
      <c r="D14" s="14" t="str">
        <f>IF('TT MD'!R26="","",'TT MD'!Q26)</f>
        <v>Team 2</v>
      </c>
      <c r="E14" s="14" t="str">
        <f>IF('TT MD'!R26="","",IF('TT MD'!R26='TT MD'!N26,'TT MD'!M27,IF('TT MD'!R26='TT MD'!N27,'TT MD'!M26,"")))</f>
        <v>Team 3</v>
      </c>
      <c r="F14" s="4"/>
      <c r="G14" s="18">
        <f t="array" ref="G14">INDEX($H$25:$H$30,MATCH(LARGE($L$25:$L$30,5),$L$25:$L$30,0))</f>
        <v>4</v>
      </c>
      <c r="H14" s="6" t="str">
        <f t="array" ref="H14">INDEX($A$25:$A$30,MATCH(LARGE($L$25:$L$30,5),$L$25:$L$30,0))&amp;" – "&amp;INDEX($B$25:$B$30,MATCH(LARGE($L$25:$L$30,5),$L$25:$L$30,0))</f>
        <v>Team 4 – Thoofan</v>
      </c>
      <c r="I14" s="63">
        <f t="array" ref="I14">INDEX($G$25:$G$30,MATCH(LARGE($L$25:$L$30,5),$L$25:$L$30,0))</f>
        <v>3</v>
      </c>
      <c r="J14" s="14" t="str">
        <f t="array" ref="J14">INDEX($C$25:$C$30,MATCH(LARGE($L$25:$L$30,5),$L$25:$L$30,0))&amp;" / "&amp;INDEX($D$25:$D$30,MATCH(LARGE($L$25:$L$30,5),$L$25:$L$30,0))&amp;" / "&amp;INDEX($E$25:$E$30,MATCH(LARGE($L$25:$L$30,5),$L$25:$L$30,0))&amp;" / "&amp;INDEX($F$25:$F$30,MATCH(LARGE($L$25:$L$30,5),$L$25:$L$30,0))</f>
        <v>0 / 0 / 0 / 1</v>
      </c>
      <c r="K14" s="4"/>
      <c r="L14" s="4"/>
    </row>
    <row r="15">
      <c r="A15" s="6" t="s">
        <v>143</v>
      </c>
      <c r="B15" s="14" t="str">
        <f>IF('TT WD'!J9="","",'TT WD'!I9)</f>
        <v/>
      </c>
      <c r="C15" s="14" t="str">
        <f>IF('TT WD'!J9="","",IF('TT WD'!J9='TT WD'!F9,'TT WD'!E10,IF('TT WD'!J9='TT WD'!F10,'TT WD'!E9,"")))</f>
        <v/>
      </c>
      <c r="D15" s="14" t="str">
        <f>IF('TT WD'!J14="","",'TT WD'!I14)</f>
        <v>Team 1</v>
      </c>
      <c r="E15" s="14" t="str">
        <f>IF('TT WD'!J14="","",IF('TT WD'!J14='TT WD'!F14,'TT WD'!E15,IF('TT WD'!J14='TT WD'!F15,'TT WD'!E14,"")))</f>
        <v>Team 4</v>
      </c>
      <c r="F15" s="4"/>
      <c r="G15" s="18">
        <f t="array" ref="G15">INDEX($H$25:$H$30,MATCH(LARGE($L$25:$L$30,6),$L$25:$L$30,0))</f>
        <v>4</v>
      </c>
      <c r="H15" s="6" t="str">
        <f t="array" ref="H15">INDEX($A$25:$A$30,MATCH(LARGE($L$25:$L$30,6),$L$25:$L$30,0))&amp;" – "&amp;INDEX($B$25:$B$30,MATCH(LARGE($L$25:$L$30,6),$L$25:$L$30,0))</f>
        <v>Team 5 – Dhurandhar</v>
      </c>
      <c r="I15" s="63">
        <f t="array" ref="I15">INDEX($G$25:$G$30,MATCH(LARGE($L$25:$L$30,6),$L$25:$L$30,0))</f>
        <v>3</v>
      </c>
      <c r="J15" s="14" t="str">
        <f t="array" ref="J15">INDEX($C$25:$C$30,MATCH(LARGE($L$25:$L$30,6),$L$25:$L$30,0))&amp;" / "&amp;INDEX($D$25:$D$30,MATCH(LARGE($L$25:$L$30,6),$L$25:$L$30,0))&amp;" / "&amp;INDEX($E$25:$E$30,MATCH(LARGE($L$25:$L$30,6),$L$25:$L$30,0))&amp;" / "&amp;INDEX($F$25:$F$30,MATCH(LARGE($L$25:$L$30,6),$L$25:$L$30,0))</f>
        <v>0 / 0 / 0 / 1</v>
      </c>
      <c r="K15" s="4"/>
      <c r="L15" s="4"/>
    </row>
    <row r="16">
      <c r="A16" s="6" t="s">
        <v>154</v>
      </c>
      <c r="B16" s="14" t="str">
        <f>IF('Badminton MS'!R21="","",'Badminton MS'!Q21)</f>
        <v/>
      </c>
      <c r="C16" s="14" t="str">
        <f>IF('Badminton MS'!R21="","",IF('Badminton MS'!R21='Badminton MS'!N21,'Badminton MS'!M22,IF('Badminton MS'!R21='Badminton MS'!N22,'Badminton MS'!M21,"")))</f>
        <v/>
      </c>
      <c r="D16" s="14" t="str">
        <f>IF('Badminton MS'!R26="","",'Badminton MS'!Q26)</f>
        <v/>
      </c>
      <c r="E16" s="14" t="str">
        <f>IF('Badminton MS'!R26="","",IF('Badminton MS'!R26='Badminton MS'!N26,'Badminton MS'!M27,IF('Badminton MS'!R26='Badminton MS'!N27,'Badminton MS'!M26,"")))</f>
        <v/>
      </c>
      <c r="F16" s="4"/>
      <c r="G16" s="13" t="s">
        <v>194</v>
      </c>
      <c r="H16" s="4"/>
      <c r="I16" s="4"/>
      <c r="J16" s="4"/>
      <c r="K16" s="4"/>
      <c r="L16" s="4"/>
    </row>
    <row r="17">
      <c r="A17" s="6" t="s">
        <v>195</v>
      </c>
      <c r="B17" s="14" t="str">
        <f>IF('Badminton WS'!R21="","",'Badminton WS'!Q21)</f>
        <v/>
      </c>
      <c r="C17" s="14" t="str">
        <f>IF('Badminton WS'!R21="","",IF('Badminton WS'!R21='Badminton WS'!N21,'Badminton WS'!M22,IF('Badminton WS'!R21='Badminton WS'!N22,'Badminton WS'!M21,"")))</f>
        <v/>
      </c>
      <c r="D17" s="14" t="str">
        <f>IF('Badminton WS'!R26="","",'Badminton WS'!Q26)</f>
        <v/>
      </c>
      <c r="E17" s="14" t="str">
        <f>IF('Badminton WS'!R26="","",IF('Badminton WS'!R26='Badminton WS'!N26,'Badminton WS'!M27,IF('Badminton WS'!R26='Badminton WS'!N27,'Badminton WS'!M26,"")))</f>
        <v/>
      </c>
      <c r="F17" s="4"/>
      <c r="G17" s="4"/>
      <c r="H17" s="4"/>
      <c r="I17" s="4"/>
      <c r="J17" s="4"/>
      <c r="K17" s="4"/>
      <c r="L17" s="4"/>
    </row>
    <row r="18">
      <c r="A18" s="6" t="s">
        <v>200</v>
      </c>
      <c r="B18" s="14" t="str">
        <f>IF('Badminton MD'!R21="","",'Badminton MD'!Q21)</f>
        <v/>
      </c>
      <c r="C18" s="14" t="str">
        <f>IF('Badminton MD'!R21="","",IF('Badminton MD'!R21='Badminton MD'!N21,'Badminton MD'!M22,IF('Badminton MD'!R21='Badminton MD'!N22,'Badminton MD'!M21,"")))</f>
        <v/>
      </c>
      <c r="D18" s="14" t="str">
        <f>IF('Badminton MD'!R26="","",'Badminton MD'!Q26)</f>
        <v/>
      </c>
      <c r="E18" s="14" t="str">
        <f>IF('Badminton MD'!R26="","",IF('Badminton MD'!R26='Badminton MD'!N26,'Badminton MD'!M27,IF('Badminton MD'!R26='Badminton MD'!N27,'Badminton MD'!M26,"")))</f>
        <v/>
      </c>
      <c r="F18" s="4"/>
      <c r="G18" s="4"/>
      <c r="H18" s="4"/>
      <c r="I18" s="4"/>
      <c r="J18" s="4"/>
      <c r="K18" s="4"/>
      <c r="L18" s="4"/>
    </row>
    <row r="19">
      <c r="A19" s="6" t="s">
        <v>203</v>
      </c>
      <c r="B19" s="14" t="str">
        <f>IF('Badminton WD'!R21="","",'Badminton WD'!Q21)</f>
        <v/>
      </c>
      <c r="C19" s="14" t="str">
        <f>IF('Badminton WD'!R21="","",IF('Badminton WD'!R21='Badminton WD'!N21,'Badminton WD'!M22,IF('Badminton WD'!R21='Badminton WD'!N22,'Badminton WD'!M21,"")))</f>
        <v/>
      </c>
      <c r="D19" s="14" t="str">
        <f>IF('Badminton WD'!R26="","",'Badminton WD'!Q26)</f>
        <v/>
      </c>
      <c r="E19" s="14" t="str">
        <f>IF('Badminton WD'!R26="","",IF('Badminton WD'!R26='Badminton WD'!N26,'Badminton WD'!M27,IF('Badminton WD'!R26='Badminton WD'!N27,'Badminton WD'!M26,"")))</f>
        <v/>
      </c>
      <c r="F19" s="4"/>
      <c r="G19" s="4"/>
      <c r="H19" s="4"/>
      <c r="I19" s="4"/>
      <c r="J19" s="4"/>
      <c r="K19" s="4"/>
      <c r="L19" s="4"/>
    </row>
    <row r="20">
      <c r="A20" s="6" t="s">
        <v>207</v>
      </c>
      <c r="B20" s="14" t="str">
        <f t="array" ref="B20">IF(Cricket!Y11="","",IFERROR(INDEX(Cricket!$A$1:$A$20,MATCH(Cricket!Y11,Cricket!$K$1:$K$20,0)),""))</f>
        <v/>
      </c>
      <c r="C20" s="14" t="str">
        <f t="array" ref="C20">IF(Cricket!Y11="","",IFERROR(INDEX(Cricket!$A$1:$A$20,MATCH(IF(Cricket!Y11="","",IF(Cricket!Y11=Cricket!T11,Cricket!T12,IF(Cricket!Y11=Cricket!T12,Cricket!T11,""))),Cricket!$K$1:$K$20,0)),""))</f>
        <v/>
      </c>
      <c r="D20" s="14" t="str">
        <f t="array" ref="D20">IF(Cricket!Y17="","",IFERROR(INDEX(Cricket!$A$1:$A$20,MATCH(Cricket!Y17,Cricket!$K$1:$K$20,0)),""))</f>
        <v/>
      </c>
      <c r="E20" s="14" t="str">
        <f t="array" ref="E20">IF(Cricket!Y17="","",IFERROR(INDEX(Cricket!$A$1:$A$20,MATCH(IF(Cricket!Y17="","",IF(Cricket!Y17=Cricket!T17,Cricket!T18,IF(Cricket!Y17=Cricket!T18,Cricket!T17,""))),Cricket!$K$1:$K$20,0)),""))</f>
        <v/>
      </c>
      <c r="F20" s="4"/>
      <c r="G20" s="4"/>
      <c r="H20" s="4"/>
      <c r="I20" s="4"/>
      <c r="J20" s="4"/>
      <c r="K20" s="4"/>
      <c r="L20" s="4"/>
    </row>
    <row r="21" ht="15.75" customHeight="1">
      <c r="A21" s="6" t="s">
        <v>212</v>
      </c>
      <c r="B21" s="14" t="str">
        <f t="array" ref="B21">IF(Football!Y11="","",IFERROR(INDEX(Football!$A$1:$A$20,MATCH(Football!Y11,Football!$K$1:$K$20,0)),""))</f>
        <v/>
      </c>
      <c r="C21" s="14" t="str">
        <f t="array" ref="C21">IF(Football!Y11="","",IFERROR(INDEX(Football!$A$1:$A$20,MATCH(IF(Football!Y11="","",IF(Football!Y11=Football!T11,Football!T12,IF(Football!Y11=Football!T12,Football!T11,""))),Football!$K$1:$K$20,0)),""))</f>
        <v/>
      </c>
      <c r="D21" s="14" t="str">
        <f t="array" ref="D21">IF(Football!Y17="","",IFERROR(INDEX(Football!$A$1:$A$20,MATCH(Football!Y17,Football!$K$1:$K$20,0)),""))</f>
        <v/>
      </c>
      <c r="E21" s="14" t="str">
        <f t="array" ref="E21">IF(Football!Y17="","",IFERROR(INDEX(Football!$A$1:$A$20,MATCH(IF(Football!Y17="","",IF(Football!Y17=Football!T17,Football!T18,IF(Football!Y17=Football!T18,Football!T17,""))),Football!$K$1:$K$20,0)),""))</f>
        <v/>
      </c>
      <c r="F21" s="4"/>
      <c r="G21" s="4"/>
      <c r="H21" s="4"/>
      <c r="I21" s="4"/>
      <c r="J21" s="4"/>
      <c r="K21" s="4"/>
      <c r="L21" s="4"/>
    </row>
    <row r="22" ht="15.75" customHeight="1">
      <c r="A22" s="4"/>
      <c r="B22" s="4"/>
      <c r="C22" s="4"/>
      <c r="D22" s="4"/>
      <c r="E22" s="4"/>
      <c r="F22" s="4"/>
      <c r="G22" s="4"/>
      <c r="H22" s="4"/>
      <c r="I22" s="4"/>
      <c r="J22" s="4"/>
      <c r="K22" s="4"/>
      <c r="L22" s="4"/>
    </row>
    <row r="23" ht="15.75" customHeight="1">
      <c r="A23" s="10" t="s">
        <v>213</v>
      </c>
      <c r="B23" s="4"/>
      <c r="C23" s="4"/>
      <c r="D23" s="4"/>
      <c r="E23" s="4"/>
      <c r="F23" s="4"/>
      <c r="G23" s="4"/>
      <c r="H23" s="4"/>
      <c r="I23" s="4"/>
      <c r="J23" s="4"/>
      <c r="K23" s="4"/>
      <c r="L23" s="4"/>
    </row>
    <row r="24" ht="15.75" customHeight="1">
      <c r="A24" s="5" t="s">
        <v>33</v>
      </c>
      <c r="B24" s="5" t="s">
        <v>214</v>
      </c>
      <c r="C24" s="5" t="s">
        <v>25</v>
      </c>
      <c r="D24" s="5" t="s">
        <v>26</v>
      </c>
      <c r="E24" s="5" t="s">
        <v>27</v>
      </c>
      <c r="F24" s="5" t="s">
        <v>28</v>
      </c>
      <c r="G24" s="5" t="s">
        <v>34</v>
      </c>
      <c r="H24" s="5" t="s">
        <v>215</v>
      </c>
      <c r="I24" s="4"/>
      <c r="J24" s="4"/>
      <c r="K24" s="4"/>
      <c r="L24" s="4"/>
    </row>
    <row r="25" ht="15.75" customHeight="1">
      <c r="A25" s="18" t="s">
        <v>68</v>
      </c>
      <c r="B25" s="19" t="s">
        <v>216</v>
      </c>
      <c r="C25" s="14">
        <f t="shared" ref="C25:C30" si="1">COUNTIF($B$10:$B$21,$A25)</f>
        <v>0</v>
      </c>
      <c r="D25" s="14">
        <f t="shared" ref="D25:D30" si="2">COUNTIF($C$10:$C$21,$A25)</f>
        <v>0</v>
      </c>
      <c r="E25" s="14">
        <f t="shared" ref="E25:E30" si="3">COUNTIF($D$10:$D$21,$A25)</f>
        <v>2</v>
      </c>
      <c r="F25" s="14">
        <f t="shared" ref="F25:F30" si="4">COUNTIF($E$10:$E$21,$A25)</f>
        <v>0</v>
      </c>
      <c r="G25" s="18">
        <f t="shared" ref="G25:G30" si="5">C25*$B$5+D25*$D$5+E25*$F$5+F25*$H$5</f>
        <v>10</v>
      </c>
      <c r="H25" s="18">
        <f t="shared" ref="H25:H30" si="6">1+COUNTIF($K$25:$K$30,"&gt;"&amp;K25)</f>
        <v>1</v>
      </c>
      <c r="I25" s="4"/>
      <c r="J25" s="4"/>
      <c r="K25" s="64">
        <f t="shared" ref="K25:K30" si="7">G25*1000000+C25*10000+D25*100+E25</f>
        <v>10000002</v>
      </c>
      <c r="L25" s="64">
        <f>K25+(10-1)/100</f>
        <v>10000002.09</v>
      </c>
    </row>
    <row r="26" ht="15.75" customHeight="1">
      <c r="A26" s="18" t="s">
        <v>71</v>
      </c>
      <c r="B26" s="19" t="s">
        <v>217</v>
      </c>
      <c r="C26" s="14">
        <f t="shared" si="1"/>
        <v>0</v>
      </c>
      <c r="D26" s="14">
        <f t="shared" si="2"/>
        <v>0</v>
      </c>
      <c r="E26" s="14">
        <f t="shared" si="3"/>
        <v>1</v>
      </c>
      <c r="F26" s="14">
        <f t="shared" si="4"/>
        <v>1</v>
      </c>
      <c r="G26" s="18">
        <f t="shared" si="5"/>
        <v>8</v>
      </c>
      <c r="H26" s="18">
        <f t="shared" si="6"/>
        <v>2</v>
      </c>
      <c r="I26" s="4"/>
      <c r="J26" s="4"/>
      <c r="K26" s="64">
        <f t="shared" si="7"/>
        <v>8000001</v>
      </c>
      <c r="L26" s="64">
        <f>K26+(10-2)/100</f>
        <v>8000001.08</v>
      </c>
    </row>
    <row r="27" ht="15.75" customHeight="1">
      <c r="A27" s="18" t="s">
        <v>77</v>
      </c>
      <c r="B27" s="19" t="s">
        <v>218</v>
      </c>
      <c r="C27" s="14">
        <f t="shared" si="1"/>
        <v>0</v>
      </c>
      <c r="D27" s="14">
        <f t="shared" si="2"/>
        <v>0</v>
      </c>
      <c r="E27" s="14">
        <f t="shared" si="3"/>
        <v>0</v>
      </c>
      <c r="F27" s="14">
        <f t="shared" si="4"/>
        <v>1</v>
      </c>
      <c r="G27" s="18">
        <f t="shared" si="5"/>
        <v>3</v>
      </c>
      <c r="H27" s="18">
        <f t="shared" si="6"/>
        <v>4</v>
      </c>
      <c r="I27" s="4"/>
      <c r="J27" s="4"/>
      <c r="K27" s="64">
        <f t="shared" si="7"/>
        <v>3000000</v>
      </c>
      <c r="L27" s="64">
        <f>K27+(10-3)/100</f>
        <v>3000000.07</v>
      </c>
    </row>
    <row r="28" ht="15.75" customHeight="1">
      <c r="A28" s="18" t="s">
        <v>82</v>
      </c>
      <c r="B28" s="19" t="s">
        <v>219</v>
      </c>
      <c r="C28" s="14">
        <f t="shared" si="1"/>
        <v>0</v>
      </c>
      <c r="D28" s="14">
        <f t="shared" si="2"/>
        <v>0</v>
      </c>
      <c r="E28" s="14">
        <f t="shared" si="3"/>
        <v>0</v>
      </c>
      <c r="F28" s="14">
        <f t="shared" si="4"/>
        <v>1</v>
      </c>
      <c r="G28" s="18">
        <f t="shared" si="5"/>
        <v>3</v>
      </c>
      <c r="H28" s="18">
        <f t="shared" si="6"/>
        <v>4</v>
      </c>
      <c r="I28" s="4"/>
      <c r="J28" s="4"/>
      <c r="K28" s="64">
        <f t="shared" si="7"/>
        <v>3000000</v>
      </c>
      <c r="L28" s="64">
        <f>K28+(10-4)/100</f>
        <v>3000000.06</v>
      </c>
    </row>
    <row r="29" ht="15.75" customHeight="1">
      <c r="A29" s="18" t="s">
        <v>86</v>
      </c>
      <c r="B29" s="19" t="s">
        <v>220</v>
      </c>
      <c r="C29" s="14">
        <f t="shared" si="1"/>
        <v>0</v>
      </c>
      <c r="D29" s="14">
        <f t="shared" si="2"/>
        <v>0</v>
      </c>
      <c r="E29" s="14">
        <f t="shared" si="3"/>
        <v>0</v>
      </c>
      <c r="F29" s="14">
        <f t="shared" si="4"/>
        <v>1</v>
      </c>
      <c r="G29" s="18">
        <f t="shared" si="5"/>
        <v>3</v>
      </c>
      <c r="H29" s="18">
        <f t="shared" si="6"/>
        <v>4</v>
      </c>
      <c r="I29" s="4"/>
      <c r="J29" s="4"/>
      <c r="K29" s="64">
        <f t="shared" si="7"/>
        <v>3000000</v>
      </c>
      <c r="L29" s="64">
        <f>K29+(10-5)/100</f>
        <v>3000000.05</v>
      </c>
    </row>
    <row r="30" ht="15.75" customHeight="1">
      <c r="A30" s="18" t="s">
        <v>66</v>
      </c>
      <c r="B30" s="19" t="s">
        <v>221</v>
      </c>
      <c r="C30" s="14">
        <f t="shared" si="1"/>
        <v>0</v>
      </c>
      <c r="D30" s="14">
        <f t="shared" si="2"/>
        <v>0</v>
      </c>
      <c r="E30" s="14">
        <f t="shared" si="3"/>
        <v>1</v>
      </c>
      <c r="F30" s="14">
        <f t="shared" si="4"/>
        <v>0</v>
      </c>
      <c r="G30" s="18">
        <f t="shared" si="5"/>
        <v>5</v>
      </c>
      <c r="H30" s="18">
        <f t="shared" si="6"/>
        <v>3</v>
      </c>
      <c r="I30" s="4"/>
      <c r="J30" s="4"/>
      <c r="K30" s="64">
        <f t="shared" si="7"/>
        <v>5000001</v>
      </c>
      <c r="L30" s="64">
        <f>K30+(10-6)/100</f>
        <v>5000001.04</v>
      </c>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36</v>
      </c>
      <c r="B1" s="2"/>
      <c r="C1" s="2"/>
      <c r="D1" s="2"/>
      <c r="E1" s="2"/>
      <c r="F1" s="2"/>
      <c r="G1" s="2"/>
      <c r="H1" s="2"/>
      <c r="I1" s="2"/>
    </row>
    <row r="2">
      <c r="A2" s="3" t="s">
        <v>37</v>
      </c>
    </row>
    <row r="3">
      <c r="A3" s="4"/>
      <c r="B3" s="4"/>
      <c r="C3" s="4"/>
      <c r="D3" s="4"/>
      <c r="E3" s="4"/>
      <c r="F3" s="4"/>
      <c r="G3" s="4"/>
      <c r="H3" s="4"/>
      <c r="I3" s="4"/>
    </row>
    <row r="4">
      <c r="A4" s="5" t="s">
        <v>38</v>
      </c>
      <c r="B4" s="5" t="s">
        <v>39</v>
      </c>
      <c r="C4" s="5" t="s">
        <v>40</v>
      </c>
      <c r="D4" s="5" t="s">
        <v>41</v>
      </c>
      <c r="E4" s="5" t="s">
        <v>2</v>
      </c>
      <c r="F4" s="5" t="s">
        <v>42</v>
      </c>
      <c r="G4" s="5" t="s">
        <v>43</v>
      </c>
      <c r="H4" s="5" t="s">
        <v>44</v>
      </c>
      <c r="I4" s="5" t="s">
        <v>45</v>
      </c>
    </row>
    <row r="5">
      <c r="A5" s="15" t="s">
        <v>46</v>
      </c>
      <c r="B5" s="16"/>
      <c r="C5" s="16"/>
      <c r="D5" s="16"/>
      <c r="E5" s="16"/>
      <c r="F5" s="16"/>
      <c r="G5" s="16"/>
      <c r="H5" s="16"/>
      <c r="I5" s="17"/>
    </row>
    <row r="6">
      <c r="A6" s="8" t="s">
        <v>13</v>
      </c>
      <c r="B6" s="18" t="s">
        <v>47</v>
      </c>
      <c r="C6" s="8" t="s">
        <v>48</v>
      </c>
      <c r="D6" s="19" t="s">
        <v>49</v>
      </c>
      <c r="E6" s="19" t="s">
        <v>17</v>
      </c>
      <c r="F6" s="8" t="s">
        <v>50</v>
      </c>
      <c r="G6" s="20" t="s">
        <v>51</v>
      </c>
      <c r="H6" s="21" t="str">
        <f>IF('TT MS'!B7="","Bilal",'TT MS'!B7)</f>
        <v>Bilal</v>
      </c>
      <c r="I6" s="21" t="str">
        <f>IF('TT MS'!B8="","Rithik P Vijay",'TT MS'!B8)</f>
        <v>Rithik P Vijay</v>
      </c>
    </row>
    <row r="7">
      <c r="A7" s="8" t="s">
        <v>13</v>
      </c>
      <c r="B7" s="18" t="s">
        <v>47</v>
      </c>
      <c r="C7" s="8" t="s">
        <v>52</v>
      </c>
      <c r="D7" s="19" t="s">
        <v>53</v>
      </c>
      <c r="E7" s="19" t="s">
        <v>15</v>
      </c>
      <c r="F7" s="8" t="s">
        <v>50</v>
      </c>
      <c r="G7" s="20" t="s">
        <v>54</v>
      </c>
      <c r="H7" s="21" t="str">
        <f>IF(Carroms!B7="","Merrin &amp; Anandhakrishnan",Carroms!B7)</f>
        <v>Merrin &amp; Anandhakrishnan</v>
      </c>
      <c r="I7" s="21" t="str">
        <f>IF(Carroms!B8="","Joyel &amp; Shinu",Carroms!B8)</f>
        <v>Joyel &amp; Shinu</v>
      </c>
    </row>
    <row r="8">
      <c r="A8" s="8" t="s">
        <v>13</v>
      </c>
      <c r="B8" s="18" t="s">
        <v>47</v>
      </c>
      <c r="C8" s="8" t="s">
        <v>90</v>
      </c>
      <c r="D8" s="19" t="s">
        <v>91</v>
      </c>
      <c r="E8" s="19" t="s">
        <v>12</v>
      </c>
      <c r="F8" s="8" t="s">
        <v>50</v>
      </c>
      <c r="G8" s="20" t="s">
        <v>92</v>
      </c>
      <c r="H8" s="21" t="str">
        <f>IF(Chess!B7="","Hrishikesh",Chess!B7)</f>
        <v>Hrishikesh</v>
      </c>
      <c r="I8" s="21" t="str">
        <f>IF(Chess!B8="","Solomon",Chess!B8)</f>
        <v>Solomon</v>
      </c>
    </row>
    <row r="9">
      <c r="A9" s="8" t="s">
        <v>13</v>
      </c>
      <c r="B9" s="18" t="s">
        <v>47</v>
      </c>
      <c r="C9" s="8" t="s">
        <v>90</v>
      </c>
      <c r="D9" s="19" t="s">
        <v>91</v>
      </c>
      <c r="E9" s="19" t="s">
        <v>12</v>
      </c>
      <c r="F9" s="8" t="s">
        <v>50</v>
      </c>
      <c r="G9" s="20" t="s">
        <v>93</v>
      </c>
      <c r="H9" s="21" t="str">
        <f>IF(Chess!B15="","Shijil",Chess!B15)</f>
        <v>Shijil</v>
      </c>
      <c r="I9" s="21" t="str">
        <f>IF(Chess!B16="","Anan Nasreen",Chess!B16)</f>
        <v>Anan Nasreen</v>
      </c>
    </row>
    <row r="10">
      <c r="A10" s="8" t="s">
        <v>13</v>
      </c>
      <c r="B10" s="18" t="s">
        <v>47</v>
      </c>
      <c r="C10" s="8" t="s">
        <v>90</v>
      </c>
      <c r="D10" s="19" t="s">
        <v>91</v>
      </c>
      <c r="E10" s="19" t="s">
        <v>12</v>
      </c>
      <c r="F10" s="8" t="s">
        <v>50</v>
      </c>
      <c r="G10" s="20" t="s">
        <v>94</v>
      </c>
      <c r="H10" s="21" t="str">
        <f>IF(Chess!B19="","Nivya Mathew",Chess!B19)</f>
        <v>Nivya Mathew</v>
      </c>
      <c r="I10" s="21" t="str">
        <f>IF(Chess!B20="","Samin",Chess!B20)</f>
        <v>Samin</v>
      </c>
    </row>
    <row r="11">
      <c r="A11" s="8" t="s">
        <v>13</v>
      </c>
      <c r="B11" s="18" t="s">
        <v>47</v>
      </c>
      <c r="C11" s="8" t="s">
        <v>90</v>
      </c>
      <c r="D11" s="19" t="s">
        <v>91</v>
      </c>
      <c r="E11" s="19" t="s">
        <v>12</v>
      </c>
      <c r="F11" s="8" t="s">
        <v>50</v>
      </c>
      <c r="G11" s="20" t="s">
        <v>95</v>
      </c>
      <c r="H11" s="21" t="str">
        <f>IF(Chess!B23="","Sravan",Chess!B23)</f>
        <v>Sravan</v>
      </c>
      <c r="I11" s="21" t="str">
        <f>IF(Chess!B24="","Mary Metilda",Chess!B24)</f>
        <v>Mary Metilda</v>
      </c>
    </row>
    <row r="12">
      <c r="A12" s="8" t="s">
        <v>13</v>
      </c>
      <c r="B12" s="18" t="s">
        <v>47</v>
      </c>
      <c r="C12" s="8" t="s">
        <v>90</v>
      </c>
      <c r="D12" s="19" t="s">
        <v>91</v>
      </c>
      <c r="E12" s="19" t="s">
        <v>12</v>
      </c>
      <c r="F12" s="8" t="s">
        <v>50</v>
      </c>
      <c r="G12" s="20" t="s">
        <v>96</v>
      </c>
      <c r="H12" s="21" t="str">
        <f>IF(Chess!B27="","Akshaya",Chess!B27)</f>
        <v>Akshaya</v>
      </c>
      <c r="I12" s="21" t="str">
        <f>IF(Chess!B28="","Bhadresh Das",Chess!B28)</f>
        <v>Bhadresh Das</v>
      </c>
    </row>
    <row r="13">
      <c r="A13" s="8" t="s">
        <v>13</v>
      </c>
      <c r="B13" s="18" t="s">
        <v>47</v>
      </c>
      <c r="C13" s="8" t="s">
        <v>90</v>
      </c>
      <c r="D13" s="19" t="s">
        <v>91</v>
      </c>
      <c r="E13" s="19" t="s">
        <v>12</v>
      </c>
      <c r="F13" s="8" t="s">
        <v>50</v>
      </c>
      <c r="G13" s="20" t="s">
        <v>98</v>
      </c>
      <c r="H13" s="21" t="str">
        <f>IF(Chess!B31="","Gautham",Chess!B31)</f>
        <v>Gautham</v>
      </c>
      <c r="I13" s="21" t="str">
        <f>IF(Chess!B32="","Nidheesh P V",Chess!B32)</f>
        <v>Nidheesh P V</v>
      </c>
    </row>
    <row r="14">
      <c r="A14" s="8" t="s">
        <v>13</v>
      </c>
      <c r="B14" s="18" t="s">
        <v>47</v>
      </c>
      <c r="C14" s="8" t="s">
        <v>90</v>
      </c>
      <c r="D14" s="19" t="s">
        <v>91</v>
      </c>
      <c r="E14" s="19" t="s">
        <v>12</v>
      </c>
      <c r="F14" s="8" t="s">
        <v>50</v>
      </c>
      <c r="G14" s="20" t="s">
        <v>99</v>
      </c>
      <c r="H14" s="21" t="str">
        <f>IF(Chess!B35="","Nived",Chess!B35)</f>
        <v>Nived</v>
      </c>
      <c r="I14" s="21" t="str">
        <f>IF(Chess!B36="","Bonny",Chess!B36)</f>
        <v>Bonny</v>
      </c>
    </row>
    <row r="15">
      <c r="A15" s="8" t="s">
        <v>13</v>
      </c>
      <c r="B15" s="18" t="s">
        <v>47</v>
      </c>
      <c r="C15" s="8" t="s">
        <v>90</v>
      </c>
      <c r="D15" s="19" t="s">
        <v>91</v>
      </c>
      <c r="E15" s="19" t="s">
        <v>12</v>
      </c>
      <c r="F15" s="8" t="s">
        <v>50</v>
      </c>
      <c r="G15" s="20" t="s">
        <v>102</v>
      </c>
      <c r="H15" s="21" t="str">
        <f>IF(Chess!B39="","Ashmil",Chess!B39)</f>
        <v>Ashmil</v>
      </c>
      <c r="I15" s="21" t="str">
        <f>IF(Chess!B40="","Ray",Chess!B40)</f>
        <v>Ray</v>
      </c>
    </row>
    <row r="16">
      <c r="A16" s="8" t="s">
        <v>13</v>
      </c>
      <c r="B16" s="18" t="s">
        <v>47</v>
      </c>
      <c r="C16" s="8" t="s">
        <v>90</v>
      </c>
      <c r="D16" s="19" t="s">
        <v>91</v>
      </c>
      <c r="E16" s="19" t="s">
        <v>12</v>
      </c>
      <c r="F16" s="8" t="s">
        <v>50</v>
      </c>
      <c r="G16" s="20" t="s">
        <v>103</v>
      </c>
      <c r="H16" s="21" t="str">
        <f>IF(Chess!B43="","Neha",Chess!B43)</f>
        <v>Neha</v>
      </c>
      <c r="I16" s="21" t="str">
        <f>IF(Chess!B44="","Shamil",Chess!B44)</f>
        <v>Shamil</v>
      </c>
    </row>
    <row r="17">
      <c r="A17" s="8" t="s">
        <v>13</v>
      </c>
      <c r="B17" s="18" t="s">
        <v>47</v>
      </c>
      <c r="C17" s="8" t="s">
        <v>90</v>
      </c>
      <c r="D17" s="19" t="s">
        <v>91</v>
      </c>
      <c r="E17" s="19" t="s">
        <v>12</v>
      </c>
      <c r="F17" s="8" t="s">
        <v>50</v>
      </c>
      <c r="G17" s="20" t="s">
        <v>105</v>
      </c>
      <c r="H17" s="21" t="str">
        <f>IF(Chess!B47="","AnnMary",Chess!B47)</f>
        <v>AnnMary</v>
      </c>
      <c r="I17" s="21" t="str">
        <f>IF(Chess!B48="","Gokul K R",Chess!B48)</f>
        <v>Gokul K R</v>
      </c>
    </row>
    <row r="18">
      <c r="A18" s="8" t="s">
        <v>13</v>
      </c>
      <c r="B18" s="18" t="s">
        <v>47</v>
      </c>
      <c r="C18" s="8" t="s">
        <v>90</v>
      </c>
      <c r="D18" s="19" t="s">
        <v>91</v>
      </c>
      <c r="E18" s="19" t="s">
        <v>12</v>
      </c>
      <c r="F18" s="8" t="s">
        <v>50</v>
      </c>
      <c r="G18" s="20" t="s">
        <v>145</v>
      </c>
      <c r="H18" s="21" t="str">
        <f>IF(Chess!B51="","Benison",Chess!B51)</f>
        <v>Benison</v>
      </c>
      <c r="I18" s="21" t="str">
        <f>IF(Chess!B52="","Anjaly C Prakash",Chess!B52)</f>
        <v>Anjaly C Prakash</v>
      </c>
    </row>
    <row r="19">
      <c r="A19" s="8" t="s">
        <v>13</v>
      </c>
      <c r="B19" s="18" t="s">
        <v>47</v>
      </c>
      <c r="C19" s="8" t="s">
        <v>90</v>
      </c>
      <c r="D19" s="19" t="s">
        <v>91</v>
      </c>
      <c r="E19" s="19" t="s">
        <v>12</v>
      </c>
      <c r="F19" s="8" t="s">
        <v>50</v>
      </c>
      <c r="G19" s="20" t="s">
        <v>157</v>
      </c>
      <c r="H19" s="21" t="str">
        <f>IF(Chess!B55="","Jithu",Chess!B55)</f>
        <v>Jithu</v>
      </c>
      <c r="I19" s="21" t="str">
        <f>IF(Chess!B56="","Sradha Santhosh",Chess!B56)</f>
        <v>Sradha Santhosh</v>
      </c>
    </row>
    <row r="20">
      <c r="A20" s="8" t="s">
        <v>13</v>
      </c>
      <c r="B20" s="18" t="s">
        <v>47</v>
      </c>
      <c r="C20" s="8" t="s">
        <v>90</v>
      </c>
      <c r="D20" s="19" t="s">
        <v>91</v>
      </c>
      <c r="E20" s="19" t="s">
        <v>12</v>
      </c>
      <c r="F20" s="8" t="s">
        <v>50</v>
      </c>
      <c r="G20" s="20" t="s">
        <v>158</v>
      </c>
      <c r="H20" s="21" t="str">
        <f>IF(Chess!B59="","Renson",Chess!B59)</f>
        <v>Renson</v>
      </c>
      <c r="I20" s="21" t="str">
        <f>IF(Chess!B60="","Rajeesh C V",Chess!B60)</f>
        <v>Rajeesh C V</v>
      </c>
    </row>
    <row r="21" ht="15.75" customHeight="1">
      <c r="A21" s="8" t="s">
        <v>13</v>
      </c>
      <c r="B21" s="18" t="s">
        <v>47</v>
      </c>
      <c r="C21" s="8" t="s">
        <v>90</v>
      </c>
      <c r="D21" s="19" t="s">
        <v>91</v>
      </c>
      <c r="E21" s="19" t="s">
        <v>12</v>
      </c>
      <c r="F21" s="8" t="s">
        <v>50</v>
      </c>
      <c r="G21" s="20" t="s">
        <v>159</v>
      </c>
      <c r="H21" s="21" t="str">
        <f>IF(Chess!B63="","Anurag",Chess!B63)</f>
        <v>Anurag</v>
      </c>
      <c r="I21" s="21" t="str">
        <f>IF(Chess!B64="","Abhijith K V",Chess!B64)</f>
        <v>Abhijith K V</v>
      </c>
    </row>
    <row r="22" ht="15.75" customHeight="1">
      <c r="A22" s="8" t="s">
        <v>13</v>
      </c>
      <c r="B22" s="18" t="s">
        <v>160</v>
      </c>
      <c r="C22" s="8" t="s">
        <v>161</v>
      </c>
      <c r="D22" s="19" t="s">
        <v>49</v>
      </c>
      <c r="E22" s="19" t="s">
        <v>17</v>
      </c>
      <c r="F22" s="8" t="s">
        <v>50</v>
      </c>
      <c r="G22" s="20" t="s">
        <v>162</v>
      </c>
      <c r="H22" s="21" t="str">
        <f>IF('TT MS'!B35="","Deekshith",'TT MS'!B35)</f>
        <v>Deekshith</v>
      </c>
      <c r="I22" s="21" t="str">
        <f>IF('TT MS'!B36="","Ansam",'TT MS'!B36)</f>
        <v>Ansam</v>
      </c>
    </row>
    <row r="23" ht="15.75" customHeight="1">
      <c r="A23" s="8" t="s">
        <v>13</v>
      </c>
      <c r="B23" s="18" t="s">
        <v>163</v>
      </c>
      <c r="C23" s="8" t="s">
        <v>164</v>
      </c>
      <c r="D23" s="19" t="s">
        <v>53</v>
      </c>
      <c r="E23" s="19" t="s">
        <v>15</v>
      </c>
      <c r="F23" s="8" t="s">
        <v>50</v>
      </c>
      <c r="G23" s="20" t="s">
        <v>165</v>
      </c>
      <c r="H23" s="21" t="str">
        <f>IF(Carroms!B27="","Athira Jayaprasad &amp; Anas",Carroms!B27)</f>
        <v>Athira Jayaprasad &amp; Anas</v>
      </c>
      <c r="I23" s="21" t="str">
        <f>IF(Carroms!B28="","Sarath Joseph &amp; Adhith Vinoj",Carroms!B28)</f>
        <v>Sarath Joseph &amp; Adhith Vinoj</v>
      </c>
    </row>
    <row r="24" ht="15.75" customHeight="1">
      <c r="A24" s="8" t="s">
        <v>13</v>
      </c>
      <c r="B24" s="18" t="s">
        <v>166</v>
      </c>
      <c r="C24" s="8" t="s">
        <v>167</v>
      </c>
      <c r="D24" s="19" t="s">
        <v>91</v>
      </c>
      <c r="E24" s="19" t="s">
        <v>12</v>
      </c>
      <c r="F24" s="8" t="s">
        <v>50</v>
      </c>
      <c r="G24" s="20" t="s">
        <v>168</v>
      </c>
      <c r="H24" s="21" t="str">
        <f>IF(Chess!B67="","Akshay Antony",Chess!B67)</f>
        <v>Akshay A</v>
      </c>
      <c r="I24" s="21" t="str">
        <f>IF(Chess!B68="","Merrin",Chess!B68)</f>
        <v>Merrin</v>
      </c>
    </row>
    <row r="25" ht="15.75" customHeight="1">
      <c r="A25" s="8" t="s">
        <v>13</v>
      </c>
      <c r="B25" s="18" t="s">
        <v>169</v>
      </c>
      <c r="C25" s="8" t="s">
        <v>170</v>
      </c>
      <c r="D25" s="19" t="s">
        <v>49</v>
      </c>
      <c r="E25" s="19" t="s">
        <v>17</v>
      </c>
      <c r="F25" s="8" t="s">
        <v>50</v>
      </c>
      <c r="G25" s="20" t="s">
        <v>171</v>
      </c>
      <c r="H25" s="21" t="str">
        <f>IF('TT MS'!B27="","Abhishek P S",'TT MS'!B27)</f>
        <v>Abhishek P S</v>
      </c>
      <c r="I25" s="21" t="str">
        <f>IF('TT MS'!B28="","Joyel",'TT MS'!B28)</f>
        <v>Joyel</v>
      </c>
    </row>
    <row r="26" ht="15.75" customHeight="1">
      <c r="A26" s="8" t="s">
        <v>13</v>
      </c>
      <c r="B26" s="18" t="s">
        <v>170</v>
      </c>
      <c r="C26" s="8" t="s">
        <v>172</v>
      </c>
      <c r="D26" s="19" t="s">
        <v>53</v>
      </c>
      <c r="E26" s="19" t="s">
        <v>15</v>
      </c>
      <c r="F26" s="8" t="s">
        <v>50</v>
      </c>
      <c r="G26" s="20" t="s">
        <v>173</v>
      </c>
      <c r="H26" s="21" t="str">
        <f>IF(Carroms!B15="","Neethu &amp; Vidhu",Carroms!B15)</f>
        <v>Neethu &amp; Vidhu</v>
      </c>
      <c r="I26" s="21" t="str">
        <f>IF(Carroms!B16="","Ashmil &amp; Prajith",Carroms!B16)</f>
        <v>Ashmil &amp; Prajith</v>
      </c>
    </row>
    <row r="27" ht="15.75" customHeight="1">
      <c r="A27" s="8" t="s">
        <v>13</v>
      </c>
      <c r="B27" s="18" t="s">
        <v>174</v>
      </c>
      <c r="C27" s="8" t="s">
        <v>175</v>
      </c>
      <c r="D27" s="19" t="s">
        <v>49</v>
      </c>
      <c r="E27" s="19" t="s">
        <v>17</v>
      </c>
      <c r="F27" s="8" t="s">
        <v>50</v>
      </c>
      <c r="G27" s="20" t="s">
        <v>176</v>
      </c>
      <c r="H27" s="21" t="str">
        <f>IF('TT MS'!B19="","Nived",'TT MS'!B19)</f>
        <v>Nived</v>
      </c>
      <c r="I27" s="21" t="str">
        <f>IF('TT MS'!B20="","Arshal Abbas",'TT MS'!B20)</f>
        <v>Arshal Abbas</v>
      </c>
    </row>
    <row r="28" ht="15.75" customHeight="1">
      <c r="A28" s="8" t="s">
        <v>13</v>
      </c>
      <c r="B28" s="18" t="s">
        <v>172</v>
      </c>
      <c r="C28" s="8" t="s">
        <v>177</v>
      </c>
      <c r="D28" s="19" t="s">
        <v>49</v>
      </c>
      <c r="E28" s="19" t="s">
        <v>17</v>
      </c>
      <c r="F28" s="8" t="s">
        <v>50</v>
      </c>
      <c r="G28" s="20" t="s">
        <v>178</v>
      </c>
      <c r="H28" s="21" t="str">
        <f>IF('TT MS'!B47="","Rajeesh C V",'TT MS'!B47)</f>
        <v>Rajeesh C V</v>
      </c>
      <c r="I28" s="21" t="str">
        <f>IF('TT MS'!B48="","Adwaith Narayanan",'TT MS'!B48)</f>
        <v>Adwaith Narayanan</v>
      </c>
    </row>
    <row r="29" ht="15.75" customHeight="1">
      <c r="A29" s="8" t="s">
        <v>13</v>
      </c>
      <c r="B29" s="18" t="s">
        <v>179</v>
      </c>
      <c r="C29" s="8" t="s">
        <v>180</v>
      </c>
      <c r="D29" s="19" t="s">
        <v>53</v>
      </c>
      <c r="E29" s="19" t="s">
        <v>15</v>
      </c>
      <c r="F29" s="8" t="s">
        <v>50</v>
      </c>
      <c r="G29" s="20" t="s">
        <v>181</v>
      </c>
      <c r="H29" s="21" t="str">
        <f>IF(Carroms!B19="","Gautham &amp; Don",Carroms!B19)</f>
        <v>Gautham &amp; Don</v>
      </c>
      <c r="I29" s="21" t="str">
        <f>IF(Carroms!B20="","Nivya Mathew &amp; Bilal",Carroms!B20)</f>
        <v>Nivya Mathew &amp; Bilal</v>
      </c>
    </row>
    <row r="30" ht="15.75" customHeight="1">
      <c r="A30" s="8" t="s">
        <v>13</v>
      </c>
      <c r="B30" s="18" t="s">
        <v>182</v>
      </c>
      <c r="C30" s="8" t="s">
        <v>183</v>
      </c>
      <c r="D30" s="19" t="s">
        <v>49</v>
      </c>
      <c r="E30" s="19" t="s">
        <v>17</v>
      </c>
      <c r="F30" s="8" t="s">
        <v>50</v>
      </c>
      <c r="G30" s="20" t="s">
        <v>184</v>
      </c>
      <c r="H30" s="21" t="str">
        <f>IF('TT MS'!B55="","Subin",'TT MS'!B55)</f>
        <v>Subin</v>
      </c>
      <c r="I30" s="21" t="str">
        <f>IF('TT MS'!B56="","Rishikesh",'TT MS'!B56)</f>
        <v>Rishikesh</v>
      </c>
    </row>
    <row r="31" ht="15.75" customHeight="1">
      <c r="A31" s="8" t="s">
        <v>13</v>
      </c>
      <c r="B31" s="18" t="s">
        <v>185</v>
      </c>
      <c r="C31" s="8" t="s">
        <v>186</v>
      </c>
      <c r="D31" s="19" t="s">
        <v>53</v>
      </c>
      <c r="E31" s="19" t="s">
        <v>15</v>
      </c>
      <c r="F31" s="8" t="s">
        <v>50</v>
      </c>
      <c r="G31" s="20" t="s">
        <v>187</v>
      </c>
      <c r="H31" s="21" t="str">
        <f>IF(Carroms!B23="","Sradha Santhosh &amp; Nidheesh P V",Carroms!B23)</f>
        <v>Sradha Santhosh &amp; Nidheesh P V</v>
      </c>
      <c r="I31" s="21" t="str">
        <f>IF(Carroms!B24="","Deekshith &amp; Akshay",Carroms!B24)</f>
        <v>Deekshith &amp; Akshay</v>
      </c>
    </row>
    <row r="32" ht="15.75" customHeight="1">
      <c r="A32" s="8" t="s">
        <v>13</v>
      </c>
      <c r="B32" s="18" t="s">
        <v>188</v>
      </c>
      <c r="C32" s="8" t="s">
        <v>189</v>
      </c>
      <c r="D32" s="19" t="s">
        <v>49</v>
      </c>
      <c r="E32" s="19" t="s">
        <v>130</v>
      </c>
      <c r="F32" s="8" t="s">
        <v>50</v>
      </c>
      <c r="G32" s="20" t="s">
        <v>190</v>
      </c>
      <c r="H32" s="21" t="str">
        <f>IF('TT MD'!B7="","Ansam &amp; Musthaq",'TT MD'!B7)</f>
        <v>Ansam &amp; Musthaq</v>
      </c>
      <c r="I32" s="21" t="str">
        <f>IF('TT MD'!B8="","Bonny &amp; Akshay",'TT MD'!B8)</f>
        <v>Bonny &amp; Akshay</v>
      </c>
    </row>
    <row r="33" ht="15.75" customHeight="1">
      <c r="A33" s="8" t="s">
        <v>13</v>
      </c>
      <c r="B33" s="18" t="s">
        <v>191</v>
      </c>
      <c r="C33" s="8" t="s">
        <v>192</v>
      </c>
      <c r="D33" s="19" t="s">
        <v>49</v>
      </c>
      <c r="E33" s="19" t="s">
        <v>17</v>
      </c>
      <c r="F33" s="8" t="s">
        <v>57</v>
      </c>
      <c r="G33" s="20" t="s">
        <v>193</v>
      </c>
      <c r="H33" s="21" t="str">
        <f>IF('TT MS'!F9="","Sahil M I",'TT MS'!F9)</f>
        <v>Sahil M I</v>
      </c>
      <c r="I33" s="21" t="str">
        <f>IF('TT MS'!F10="","Winner TMS-R1-01",'TT MS'!F10)</f>
        <v>Rithik P Vijay</v>
      </c>
    </row>
    <row r="34" ht="15.75" customHeight="1">
      <c r="A34" s="15" t="s">
        <v>196</v>
      </c>
      <c r="B34" s="16"/>
      <c r="C34" s="16"/>
      <c r="D34" s="16"/>
      <c r="E34" s="16"/>
      <c r="F34" s="16"/>
      <c r="G34" s="16"/>
      <c r="H34" s="16"/>
      <c r="I34" s="17"/>
    </row>
    <row r="35" ht="15.75" customHeight="1">
      <c r="A35" s="8" t="s">
        <v>197</v>
      </c>
      <c r="B35" s="18" t="s">
        <v>47</v>
      </c>
      <c r="C35" s="8" t="s">
        <v>160</v>
      </c>
      <c r="D35" s="19" t="s">
        <v>49</v>
      </c>
      <c r="E35" s="19" t="s">
        <v>130</v>
      </c>
      <c r="F35" s="8" t="s">
        <v>50</v>
      </c>
      <c r="G35" s="20" t="s">
        <v>198</v>
      </c>
      <c r="H35" s="21" t="str">
        <f>IF('TT MD'!B15="","Adwaith Narayanan &amp; Alwin",'TT MD'!B15)</f>
        <v>Adwaith Narayanan &amp; Alwin</v>
      </c>
      <c r="I35" s="21" t="str">
        <f>IF('TT MD'!B16="","Rishikesh &amp; Amit",'TT MD'!B16)</f>
        <v>Rishikesh &amp; Amit</v>
      </c>
    </row>
    <row r="36" ht="15.75" customHeight="1">
      <c r="A36" s="8" t="s">
        <v>197</v>
      </c>
      <c r="B36" s="18" t="s">
        <v>47</v>
      </c>
      <c r="C36" s="8" t="s">
        <v>52</v>
      </c>
      <c r="D36" s="19" t="s">
        <v>53</v>
      </c>
      <c r="E36" s="19" t="s">
        <v>15</v>
      </c>
      <c r="F36" s="8" t="s">
        <v>50</v>
      </c>
      <c r="G36" s="20" t="s">
        <v>199</v>
      </c>
      <c r="H36" s="21" t="str">
        <f>IF(Carroms!B31="","Ansam &amp; Justin",Carroms!B31)</f>
        <v>Ansam &amp; Justin</v>
      </c>
      <c r="I36" s="21" t="str">
        <f>IF(Carroms!B32="","Gokul K R &amp; Anurag",Carroms!B32)</f>
        <v>Gokul K R &amp; Anurag</v>
      </c>
    </row>
    <row r="37" ht="15.75" customHeight="1">
      <c r="A37" s="8" t="s">
        <v>197</v>
      </c>
      <c r="B37" s="18" t="s">
        <v>47</v>
      </c>
      <c r="C37" s="8" t="s">
        <v>90</v>
      </c>
      <c r="D37" s="19" t="s">
        <v>91</v>
      </c>
      <c r="E37" s="19" t="s">
        <v>12</v>
      </c>
      <c r="F37" s="8" t="s">
        <v>57</v>
      </c>
      <c r="G37" s="20" t="s">
        <v>201</v>
      </c>
      <c r="H37" s="21" t="str">
        <f>IF(Chess!F9="","Sainal",Chess!F9)</f>
        <v>Sainal</v>
      </c>
      <c r="I37" s="21" t="str">
        <f>IF(Chess!F10="","Winner CH-R1-01",Chess!F10)</f>
        <v>Hrishikesh</v>
      </c>
    </row>
    <row r="38" ht="15.75" customHeight="1">
      <c r="A38" s="8" t="s">
        <v>197</v>
      </c>
      <c r="B38" s="18" t="s">
        <v>47</v>
      </c>
      <c r="C38" s="8" t="s">
        <v>90</v>
      </c>
      <c r="D38" s="19" t="s">
        <v>91</v>
      </c>
      <c r="E38" s="19" t="s">
        <v>12</v>
      </c>
      <c r="F38" s="8" t="s">
        <v>57</v>
      </c>
      <c r="G38" s="20" t="s">
        <v>202</v>
      </c>
      <c r="H38" s="21" t="str">
        <f>IF(Chess!F17="","Winner CH-R1-02",Chess!F17)</f>
        <v>Shijil</v>
      </c>
      <c r="I38" s="21" t="str">
        <f>IF(Chess!F18="","Winner CH-R1-03",Chess!F18)</f>
        <v>Samin</v>
      </c>
    </row>
    <row r="39" ht="15.75" customHeight="1">
      <c r="A39" s="8" t="s">
        <v>197</v>
      </c>
      <c r="B39" s="18" t="s">
        <v>47</v>
      </c>
      <c r="C39" s="8" t="s">
        <v>90</v>
      </c>
      <c r="D39" s="19" t="s">
        <v>91</v>
      </c>
      <c r="E39" s="19" t="s">
        <v>12</v>
      </c>
      <c r="F39" s="8" t="s">
        <v>57</v>
      </c>
      <c r="G39" s="20" t="s">
        <v>204</v>
      </c>
      <c r="H39" s="21" t="str">
        <f>IF(Chess!F25="","Winner CH-R1-04",Chess!F25)</f>
        <v>Sravan</v>
      </c>
      <c r="I39" s="21" t="str">
        <f>IF(Chess!F26="","Winner CH-R1-05",Chess!F26)</f>
        <v>Akshaya</v>
      </c>
    </row>
    <row r="40" ht="15.75" customHeight="1">
      <c r="A40" s="8" t="s">
        <v>197</v>
      </c>
      <c r="B40" s="18" t="s">
        <v>47</v>
      </c>
      <c r="C40" s="8" t="s">
        <v>90</v>
      </c>
      <c r="D40" s="19" t="s">
        <v>91</v>
      </c>
      <c r="E40" s="19" t="s">
        <v>12</v>
      </c>
      <c r="F40" s="8" t="s">
        <v>57</v>
      </c>
      <c r="G40" s="20" t="s">
        <v>205</v>
      </c>
      <c r="H40" s="21" t="str">
        <f>IF(Chess!F33="","Winner CH-R1-06",Chess!F33)</f>
        <v>Gautham</v>
      </c>
      <c r="I40" s="21" t="str">
        <f>IF(Chess!F34="","Winner CH-R1-07",Chess!F34)</f>
        <v>Nived</v>
      </c>
    </row>
    <row r="41" ht="15.75" customHeight="1">
      <c r="A41" s="8" t="s">
        <v>197</v>
      </c>
      <c r="B41" s="18" t="s">
        <v>47</v>
      </c>
      <c r="C41" s="8" t="s">
        <v>90</v>
      </c>
      <c r="D41" s="19" t="s">
        <v>91</v>
      </c>
      <c r="E41" s="19" t="s">
        <v>12</v>
      </c>
      <c r="F41" s="8" t="s">
        <v>57</v>
      </c>
      <c r="G41" s="20" t="s">
        <v>206</v>
      </c>
      <c r="H41" s="21" t="str">
        <f>IF(Chess!F41="","Winner CH-R1-08",Chess!F41)</f>
        <v>Ray</v>
      </c>
      <c r="I41" s="21" t="str">
        <f>IF(Chess!F42="","Winner CH-R1-09",Chess!F42)</f>
        <v>Shamil</v>
      </c>
    </row>
    <row r="42" ht="15.75" customHeight="1">
      <c r="A42" s="8" t="s">
        <v>197</v>
      </c>
      <c r="B42" s="18" t="s">
        <v>47</v>
      </c>
      <c r="C42" s="8" t="s">
        <v>90</v>
      </c>
      <c r="D42" s="19" t="s">
        <v>91</v>
      </c>
      <c r="E42" s="19" t="s">
        <v>12</v>
      </c>
      <c r="F42" s="8" t="s">
        <v>57</v>
      </c>
      <c r="G42" s="20" t="s">
        <v>208</v>
      </c>
      <c r="H42" s="21" t="str">
        <f>IF(Chess!F57="","Winner CH-R1-12",Chess!F57)</f>
        <v>Jithu</v>
      </c>
      <c r="I42" s="21" t="str">
        <f>IF(Chess!F58="","Winner CH-R1-13",Chess!F58)</f>
        <v>Rajeesh C V</v>
      </c>
    </row>
    <row r="43" ht="15.75" customHeight="1">
      <c r="A43" s="8" t="s">
        <v>197</v>
      </c>
      <c r="B43" s="18" t="s">
        <v>52</v>
      </c>
      <c r="C43" s="8" t="s">
        <v>169</v>
      </c>
      <c r="D43" s="19" t="s">
        <v>49</v>
      </c>
      <c r="E43" s="19" t="s">
        <v>17</v>
      </c>
      <c r="F43" s="8" t="s">
        <v>57</v>
      </c>
      <c r="G43" s="20" t="s">
        <v>209</v>
      </c>
      <c r="H43" s="21" t="str">
        <f>IF('TT MS'!F15="","Musthaq",'TT MS'!F15)</f>
        <v>Musthaq</v>
      </c>
      <c r="I43" s="21" t="str">
        <f>IF('TT MS'!F16="","Prajith",'TT MS'!F16)</f>
        <v>Prajith</v>
      </c>
    </row>
    <row r="44" ht="15.75" customHeight="1">
      <c r="A44" s="8" t="s">
        <v>197</v>
      </c>
      <c r="B44" s="18" t="s">
        <v>163</v>
      </c>
      <c r="C44" s="8" t="s">
        <v>164</v>
      </c>
      <c r="D44" s="19" t="s">
        <v>53</v>
      </c>
      <c r="E44" s="19" t="s">
        <v>15</v>
      </c>
      <c r="F44" s="8" t="s">
        <v>50</v>
      </c>
      <c r="G44" s="20" t="s">
        <v>210</v>
      </c>
      <c r="H44" s="21" t="str">
        <f>IF(Carroms!B47="","Akhila &amp; Athira",Carroms!B47)</f>
        <v>Akhila &amp; Athira</v>
      </c>
      <c r="I44" s="21" t="str">
        <f>IF(Carroms!B48="","Nivya Peter &amp; Nikitha",Carroms!B48)</f>
        <v>Nivya Peter &amp; Nikitha</v>
      </c>
    </row>
    <row r="45" ht="15.75" customHeight="1">
      <c r="A45" s="8" t="s">
        <v>197</v>
      </c>
      <c r="B45" s="18" t="s">
        <v>166</v>
      </c>
      <c r="C45" s="8" t="s">
        <v>167</v>
      </c>
      <c r="D45" s="19" t="s">
        <v>91</v>
      </c>
      <c r="E45" s="19" t="s">
        <v>12</v>
      </c>
      <c r="F45" s="8" t="s">
        <v>57</v>
      </c>
      <c r="G45" s="20" t="s">
        <v>211</v>
      </c>
      <c r="H45" s="21" t="str">
        <f>IF(Chess!F49="","Winner CH-R1-10",Chess!F49)</f>
        <v>Gokul K R</v>
      </c>
      <c r="I45" s="21" t="str">
        <f>IF(Chess!F50="","Winner CH-R1-11",Chess!F50)</f>
        <v>Benison</v>
      </c>
    </row>
    <row r="46" ht="15.75" customHeight="1">
      <c r="A46" s="8" t="s">
        <v>197</v>
      </c>
      <c r="B46" s="18" t="s">
        <v>166</v>
      </c>
      <c r="C46" s="8" t="s">
        <v>167</v>
      </c>
      <c r="D46" s="19" t="s">
        <v>91</v>
      </c>
      <c r="E46" s="19" t="s">
        <v>12</v>
      </c>
      <c r="F46" s="8" t="s">
        <v>57</v>
      </c>
      <c r="G46" s="20" t="s">
        <v>227</v>
      </c>
      <c r="H46" s="21" t="str">
        <f>IF(Chess!F65="","Winner CH-R1-14",Chess!F65)</f>
        <v>Anurag</v>
      </c>
      <c r="I46" s="21" t="str">
        <f>IF(Chess!F66="","Winner CH-R1-15",Chess!F66)</f>
        <v>Akshay A</v>
      </c>
    </row>
    <row r="47" ht="15.75" customHeight="1">
      <c r="A47" s="8" t="s">
        <v>197</v>
      </c>
      <c r="B47" s="18" t="s">
        <v>229</v>
      </c>
      <c r="C47" s="8" t="s">
        <v>174</v>
      </c>
      <c r="D47" s="19" t="s">
        <v>49</v>
      </c>
      <c r="E47" s="19" t="s">
        <v>17</v>
      </c>
      <c r="F47" s="8" t="s">
        <v>57</v>
      </c>
      <c r="G47" s="20" t="s">
        <v>230</v>
      </c>
      <c r="H47" s="21" t="str">
        <f>IF('TT MS'!F37="","Thomas",'TT MS'!F37)</f>
        <v>Thomas</v>
      </c>
      <c r="I47" s="21" t="str">
        <f>IF('TT MS'!F38="","Winner TMS-R1-04",'TT MS'!F38)</f>
        <v>Deekshith</v>
      </c>
    </row>
    <row r="48" ht="15.75" customHeight="1">
      <c r="A48" s="8" t="s">
        <v>197</v>
      </c>
      <c r="B48" s="18" t="s">
        <v>170</v>
      </c>
      <c r="C48" s="8" t="s">
        <v>172</v>
      </c>
      <c r="D48" s="19" t="s">
        <v>53</v>
      </c>
      <c r="E48" s="19" t="s">
        <v>15</v>
      </c>
      <c r="F48" s="8" t="s">
        <v>50</v>
      </c>
      <c r="G48" s="20" t="s">
        <v>231</v>
      </c>
      <c r="H48" s="21" t="str">
        <f>IF(Carroms!B35="","Akshay &amp; Gouresh",Carroms!B35)</f>
        <v>Akshay &amp; Gouresh</v>
      </c>
      <c r="I48" s="21" t="str">
        <f>IF(Carroms!B36="","Sharan &amp; Musthaq",Carroms!B36)</f>
        <v>Sharan &amp; Musthaq</v>
      </c>
    </row>
    <row r="49" ht="15.75" customHeight="1">
      <c r="A49" s="8" t="s">
        <v>197</v>
      </c>
      <c r="B49" s="18" t="s">
        <v>236</v>
      </c>
      <c r="C49" s="8" t="s">
        <v>179</v>
      </c>
      <c r="D49" s="19" t="s">
        <v>49</v>
      </c>
      <c r="E49" s="19" t="s">
        <v>130</v>
      </c>
      <c r="F49" s="8" t="s">
        <v>50</v>
      </c>
      <c r="G49" s="20" t="s">
        <v>237</v>
      </c>
      <c r="H49" s="21" t="str">
        <f>IF('TT MD'!B19="","Subin &amp; Sahil M I",'TT MD'!B19)</f>
        <v>Subin &amp; Sahil M I</v>
      </c>
      <c r="I49" s="21" t="str">
        <f>IF('TT MD'!B20="","Nidheesh P V &amp; Abhishek P S",'TT MD'!B20)</f>
        <v>Nidheesh P V &amp; Abhishek P S</v>
      </c>
    </row>
    <row r="50" ht="15.75" customHeight="1">
      <c r="A50" s="8" t="s">
        <v>197</v>
      </c>
      <c r="B50" s="18" t="s">
        <v>179</v>
      </c>
      <c r="C50" s="8" t="s">
        <v>180</v>
      </c>
      <c r="D50" s="19" t="s">
        <v>53</v>
      </c>
      <c r="E50" s="19" t="s">
        <v>15</v>
      </c>
      <c r="F50" s="8" t="s">
        <v>50</v>
      </c>
      <c r="G50" s="20" t="s">
        <v>238</v>
      </c>
      <c r="H50" s="21" t="str">
        <f>IF(Carroms!B43="","Rajeesh C V &amp; Ibrahim",Carroms!B43)</f>
        <v>Rajeesh C V &amp; Ibrahim</v>
      </c>
      <c r="I50" s="21" t="str">
        <f>IF(Carroms!B44="","Alwin &amp; Nived",Carroms!B44)</f>
        <v>Alwin &amp; Nived</v>
      </c>
    </row>
    <row r="51" ht="15.75" customHeight="1">
      <c r="A51" s="8" t="s">
        <v>197</v>
      </c>
      <c r="B51" s="18" t="s">
        <v>240</v>
      </c>
      <c r="C51" s="8" t="s">
        <v>241</v>
      </c>
      <c r="D51" s="19" t="s">
        <v>49</v>
      </c>
      <c r="E51" s="19" t="s">
        <v>17</v>
      </c>
      <c r="F51" s="8" t="s">
        <v>57</v>
      </c>
      <c r="G51" s="20" t="s">
        <v>242</v>
      </c>
      <c r="H51" s="21" t="str">
        <f>IF('TT MS'!F43="","Vidhu",'TT MS'!F43)</f>
        <v>Vidhu</v>
      </c>
      <c r="I51" s="21" t="str">
        <f>IF('TT MS'!F44="","Soorya Thejas",'TT MS'!F44)</f>
        <v>Soorya Thejas</v>
      </c>
    </row>
    <row r="52" ht="15.75" customHeight="1">
      <c r="A52" s="8" t="s">
        <v>197</v>
      </c>
      <c r="B52" s="18" t="s">
        <v>180</v>
      </c>
      <c r="C52" s="8" t="s">
        <v>247</v>
      </c>
      <c r="D52" s="19" t="s">
        <v>49</v>
      </c>
      <c r="E52" s="19" t="s">
        <v>17</v>
      </c>
      <c r="F52" s="8" t="s">
        <v>57</v>
      </c>
      <c r="G52" s="20" t="s">
        <v>248</v>
      </c>
      <c r="H52" s="21" t="str">
        <f>IF('TT MS'!F29="","Nidheesh P V",'TT MS'!F29)</f>
        <v>Nidheesh P V</v>
      </c>
      <c r="I52" s="21" t="str">
        <f>IF('TT MS'!F30="","Winner TMS-R1-03",'TT MS'!F30)</f>
        <v>Joyel</v>
      </c>
    </row>
    <row r="53" ht="15.75" customHeight="1">
      <c r="A53" s="8" t="s">
        <v>197</v>
      </c>
      <c r="B53" s="18" t="s">
        <v>185</v>
      </c>
      <c r="C53" s="8" t="s">
        <v>186</v>
      </c>
      <c r="D53" s="19" t="s">
        <v>53</v>
      </c>
      <c r="E53" s="19" t="s">
        <v>15</v>
      </c>
      <c r="F53" s="8" t="s">
        <v>50</v>
      </c>
      <c r="G53" s="20" t="s">
        <v>251</v>
      </c>
      <c r="H53" s="21" t="str">
        <f>IF(Carroms!B39="","Aparna &amp; Sahil M I",Carroms!B39)</f>
        <v>Aparna &amp; Sahil M I</v>
      </c>
      <c r="I53" s="21" t="str">
        <f>IF(Carroms!B40="","Sharon &amp; Amit",Carroms!B40)</f>
        <v>Sharon &amp; Amit</v>
      </c>
    </row>
    <row r="54" ht="15.75" customHeight="1">
      <c r="A54" s="8" t="s">
        <v>197</v>
      </c>
      <c r="B54" s="18" t="s">
        <v>255</v>
      </c>
      <c r="C54" s="8" t="s">
        <v>256</v>
      </c>
      <c r="D54" s="19" t="s">
        <v>49</v>
      </c>
      <c r="E54" s="19" t="s">
        <v>130</v>
      </c>
      <c r="F54" s="8" t="s">
        <v>50</v>
      </c>
      <c r="G54" s="20" t="s">
        <v>257</v>
      </c>
      <c r="H54" s="21" t="str">
        <f>IF('TT MD'!B31="","Rajeesh C V &amp; Soorya Thejas",'TT MD'!B31)</f>
        <v>Rajeesh C V &amp; Soorya Thejas</v>
      </c>
      <c r="I54" s="21" t="str">
        <f>IF('TT MD'!B32="","Anandhakrishnan &amp; Christo",'TT MD'!B32)</f>
        <v>Anandhakrishnan &amp; Christo</v>
      </c>
    </row>
    <row r="55" ht="15.75" customHeight="1">
      <c r="A55" s="15" t="s">
        <v>258</v>
      </c>
      <c r="B55" s="16"/>
      <c r="C55" s="16"/>
      <c r="D55" s="16"/>
      <c r="E55" s="16"/>
      <c r="F55" s="16"/>
      <c r="G55" s="16"/>
      <c r="H55" s="16"/>
      <c r="I55" s="17"/>
    </row>
    <row r="56" ht="15.75" customHeight="1">
      <c r="A56" s="8" t="s">
        <v>260</v>
      </c>
      <c r="B56" s="18" t="s">
        <v>47</v>
      </c>
      <c r="C56" s="8" t="s">
        <v>160</v>
      </c>
      <c r="D56" s="19" t="s">
        <v>49</v>
      </c>
      <c r="E56" s="19" t="s">
        <v>130</v>
      </c>
      <c r="F56" s="8" t="s">
        <v>50</v>
      </c>
      <c r="G56" s="20" t="s">
        <v>261</v>
      </c>
      <c r="H56" s="21" t="str">
        <f>IF('TT MD'!B23="","Prajith &amp; Nived",'TT MD'!B23)</f>
        <v>Prajith &amp; Nived</v>
      </c>
      <c r="I56" s="21" t="str">
        <f>IF('TT MD'!B24="","Joyel &amp; Vidhu",'TT MD'!B24)</f>
        <v>Joyel &amp; Vidhu</v>
      </c>
    </row>
    <row r="57" ht="15.75" customHeight="1">
      <c r="A57" s="8" t="s">
        <v>260</v>
      </c>
      <c r="B57" s="18" t="s">
        <v>47</v>
      </c>
      <c r="C57" s="8" t="s">
        <v>52</v>
      </c>
      <c r="D57" s="19" t="s">
        <v>53</v>
      </c>
      <c r="E57" s="19" t="s">
        <v>15</v>
      </c>
      <c r="F57" s="8" t="s">
        <v>50</v>
      </c>
      <c r="G57" s="20" t="s">
        <v>262</v>
      </c>
      <c r="H57" s="21" t="str">
        <f>IF(Carroms!B51="","Samin &amp; Nikhil",Carroms!B51)</f>
        <v>Samin &amp; Nikhil</v>
      </c>
      <c r="I57" s="21" t="str">
        <f>IF(Carroms!B52="","Tressy &amp; Shijil",Carroms!B52)</f>
        <v>Tressy &amp; Shijil</v>
      </c>
    </row>
    <row r="58" ht="15.75" customHeight="1">
      <c r="A58" s="8" t="s">
        <v>260</v>
      </c>
      <c r="B58" s="18" t="s">
        <v>47</v>
      </c>
      <c r="C58" s="8" t="s">
        <v>90</v>
      </c>
      <c r="D58" s="19" t="s">
        <v>91</v>
      </c>
      <c r="E58" s="19" t="s">
        <v>12</v>
      </c>
      <c r="F58" s="8" t="s">
        <v>264</v>
      </c>
      <c r="G58" s="20" t="s">
        <v>266</v>
      </c>
      <c r="H58" s="21" t="str">
        <f>IF(Chess!J45="","Winner CH-R2-05",Chess!J45)</f>
        <v>Shamil</v>
      </c>
      <c r="I58" s="21" t="str">
        <f>IF(Chess!J46="","Winner CH-R2-06",Chess!J46)</f>
        <v>Benison</v>
      </c>
    </row>
    <row r="59" ht="15.75" customHeight="1">
      <c r="A59" s="8" t="s">
        <v>260</v>
      </c>
      <c r="B59" s="18" t="s">
        <v>47</v>
      </c>
      <c r="C59" s="8" t="s">
        <v>90</v>
      </c>
      <c r="D59" s="19" t="s">
        <v>91</v>
      </c>
      <c r="E59" s="19" t="s">
        <v>12</v>
      </c>
      <c r="F59" s="8" t="s">
        <v>264</v>
      </c>
      <c r="G59" s="20" t="s">
        <v>269</v>
      </c>
      <c r="H59" s="21" t="str">
        <f>IF(Chess!J61="","Winner CH-R2-07",Chess!J61)</f>
        <v>Rajeesh C V</v>
      </c>
      <c r="I59" s="21" t="str">
        <f>IF(Chess!J62="","Winner CH-R2-08",Chess!J62)</f>
        <v>Akshay A</v>
      </c>
    </row>
    <row r="60" ht="15.75" customHeight="1">
      <c r="A60" s="8" t="s">
        <v>260</v>
      </c>
      <c r="B60" s="18" t="s">
        <v>52</v>
      </c>
      <c r="C60" s="8" t="s">
        <v>169</v>
      </c>
      <c r="D60" s="19" t="s">
        <v>49</v>
      </c>
      <c r="E60" s="19" t="s">
        <v>17</v>
      </c>
      <c r="F60" s="8" t="s">
        <v>57</v>
      </c>
      <c r="G60" s="20" t="s">
        <v>270</v>
      </c>
      <c r="H60" s="21" t="str">
        <f>IF('TT MS'!F57="","Alwin",'TT MS'!F57)</f>
        <v>Alwin</v>
      </c>
      <c r="I60" s="21" t="str">
        <f>IF('TT MS'!F58="","Winner TMS-R1-06",'TT MS'!F58)</f>
        <v>Rishikesh</v>
      </c>
    </row>
    <row r="61" ht="15.75" customHeight="1">
      <c r="A61" s="8" t="s">
        <v>260</v>
      </c>
      <c r="B61" s="18" t="s">
        <v>163</v>
      </c>
      <c r="C61" s="8" t="s">
        <v>164</v>
      </c>
      <c r="D61" s="19" t="s">
        <v>53</v>
      </c>
      <c r="E61" s="19" t="s">
        <v>15</v>
      </c>
      <c r="F61" s="8" t="s">
        <v>50</v>
      </c>
      <c r="G61" s="20" t="s">
        <v>271</v>
      </c>
      <c r="H61" s="21" t="str">
        <f>IF(Carroms!B63="","Abhishek P S &amp; Vidhya M Robert",Carroms!B63)</f>
        <v>Abhishek P S &amp; Vidhya M Robert</v>
      </c>
      <c r="I61" s="21" t="str">
        <f>IF(Carroms!B64="","Niju &amp; Christo",Carroms!B64)</f>
        <v>Niju &amp; Christo</v>
      </c>
    </row>
    <row r="62" ht="15.75" customHeight="1">
      <c r="A62" s="8" t="s">
        <v>260</v>
      </c>
      <c r="B62" s="18" t="s">
        <v>90</v>
      </c>
      <c r="C62" s="8" t="s">
        <v>272</v>
      </c>
      <c r="D62" s="19" t="s">
        <v>91</v>
      </c>
      <c r="E62" s="19" t="s">
        <v>12</v>
      </c>
      <c r="F62" s="8" t="s">
        <v>264</v>
      </c>
      <c r="G62" s="20" t="s">
        <v>273</v>
      </c>
      <c r="H62" s="21" t="str">
        <f>IF(Chess!J29="","Winner CH-R2-03",Chess!J29)</f>
        <v>Sravan</v>
      </c>
      <c r="I62" s="21" t="str">
        <f>IF(Chess!J30="","Winner CH-R2-04",Chess!J30)</f>
        <v>Gautham</v>
      </c>
    </row>
    <row r="63" ht="15.75" customHeight="1">
      <c r="A63" s="8" t="s">
        <v>260</v>
      </c>
      <c r="B63" s="18" t="s">
        <v>166</v>
      </c>
      <c r="C63" s="8" t="s">
        <v>167</v>
      </c>
      <c r="D63" s="19" t="s">
        <v>91</v>
      </c>
      <c r="E63" s="19" t="s">
        <v>12</v>
      </c>
      <c r="F63" s="8" t="s">
        <v>264</v>
      </c>
      <c r="G63" s="20" t="s">
        <v>274</v>
      </c>
      <c r="H63" s="21" t="str">
        <f>IF(Chess!J13="","Winner CH-R2-01",Chess!J13)</f>
        <v>Hrishikesh</v>
      </c>
      <c r="I63" s="21" t="str">
        <f>IF(Chess!J14="","Winner CH-R2-02",Chess!J14)</f>
        <v>Samin</v>
      </c>
    </row>
    <row r="64" ht="15.75" customHeight="1">
      <c r="A64" s="8" t="s">
        <v>260</v>
      </c>
      <c r="B64" s="18" t="s">
        <v>229</v>
      </c>
      <c r="C64" s="8" t="s">
        <v>174</v>
      </c>
      <c r="D64" s="19" t="s">
        <v>49</v>
      </c>
      <c r="E64" s="19" t="s">
        <v>17</v>
      </c>
      <c r="F64" s="8" t="s">
        <v>264</v>
      </c>
      <c r="G64" s="20" t="s">
        <v>275</v>
      </c>
      <c r="H64" s="21" t="str">
        <f>IF('TT MS'!J12="","Winner TMS-R2-01",'TT MS'!J12)</f>
        <v>Rithik P Vijay</v>
      </c>
      <c r="I64" s="21" t="str">
        <f>IF('TT MS'!J13="","Winner TMS-R2-02",'TT MS'!J13)</f>
        <v>Musthaq</v>
      </c>
    </row>
    <row r="65" ht="15.75" customHeight="1">
      <c r="A65" s="8" t="s">
        <v>260</v>
      </c>
      <c r="B65" s="18" t="s">
        <v>170</v>
      </c>
      <c r="C65" s="8" t="s">
        <v>172</v>
      </c>
      <c r="D65" s="19" t="s">
        <v>53</v>
      </c>
      <c r="E65" s="19" t="s">
        <v>15</v>
      </c>
      <c r="F65" s="8" t="s">
        <v>50</v>
      </c>
      <c r="G65" s="20" t="s">
        <v>276</v>
      </c>
      <c r="H65" s="21" t="str">
        <f>IF(Carroms!B55="","Abhijith K V &amp; Divin",Carroms!B55)</f>
        <v>Abhijith K V &amp; Divin</v>
      </c>
      <c r="I65" s="21" t="str">
        <f>IF(Carroms!B56="","Nandhana Rayaroth &amp; Sona",Carroms!B56)</f>
        <v>Nandhana Rayaroth &amp; Sona</v>
      </c>
    </row>
    <row r="66" ht="15.75" customHeight="1">
      <c r="A66" s="8" t="s">
        <v>260</v>
      </c>
      <c r="B66" s="18" t="s">
        <v>236</v>
      </c>
      <c r="C66" s="8" t="s">
        <v>172</v>
      </c>
      <c r="D66" s="19" t="s">
        <v>49</v>
      </c>
      <c r="E66" s="19" t="s">
        <v>17</v>
      </c>
      <c r="F66" s="8" t="s">
        <v>57</v>
      </c>
      <c r="G66" s="20" t="s">
        <v>278</v>
      </c>
      <c r="H66" s="21" t="str">
        <f>IF('TT MS'!F49="","Ray",'TT MS'!F49)</f>
        <v>Ray</v>
      </c>
      <c r="I66" s="21" t="str">
        <f>IF('TT MS'!F50="","Winner TMS-R1-05",'TT MS'!F50)</f>
        <v>Rajeesh C V</v>
      </c>
    </row>
    <row r="67" ht="15.75" customHeight="1">
      <c r="A67" s="8" t="s">
        <v>260</v>
      </c>
      <c r="B67" s="18" t="s">
        <v>179</v>
      </c>
      <c r="C67" s="8" t="s">
        <v>182</v>
      </c>
      <c r="D67" s="19" t="s">
        <v>49</v>
      </c>
      <c r="E67" s="19" t="s">
        <v>17</v>
      </c>
      <c r="F67" s="8" t="s">
        <v>57</v>
      </c>
      <c r="G67" s="20" t="s">
        <v>280</v>
      </c>
      <c r="H67" s="21" t="str">
        <f>IF('TT MS'!F21="","Amit",'TT MS'!F21)</f>
        <v>Amit</v>
      </c>
      <c r="I67" s="21" t="str">
        <f>IF('TT MS'!F22="","Winner TMS-R1-02",'TT MS'!F22)</f>
        <v>Nived</v>
      </c>
    </row>
    <row r="68" ht="15.75" customHeight="1">
      <c r="A68" s="8" t="s">
        <v>260</v>
      </c>
      <c r="B68" s="18" t="s">
        <v>179</v>
      </c>
      <c r="C68" s="8" t="s">
        <v>180</v>
      </c>
      <c r="D68" s="19" t="s">
        <v>53</v>
      </c>
      <c r="E68" s="19" t="s">
        <v>15</v>
      </c>
      <c r="F68" s="8" t="s">
        <v>50</v>
      </c>
      <c r="G68" s="20" t="s">
        <v>281</v>
      </c>
      <c r="H68" s="21" t="str">
        <f>IF(Carroms!B67="","Jithu &amp; Bilsy",Carroms!B67)</f>
        <v>Jithu &amp; Bilsy</v>
      </c>
      <c r="I68" s="21" t="str">
        <f>IF(Carroms!B68="","Deepanjali &amp; Anjana",Carroms!B68)</f>
        <v>Deepanjali &amp; Anjana</v>
      </c>
    </row>
    <row r="69" ht="15.75" customHeight="1">
      <c r="A69" s="8" t="s">
        <v>260</v>
      </c>
      <c r="B69" s="18" t="s">
        <v>241</v>
      </c>
      <c r="C69" s="8" t="s">
        <v>247</v>
      </c>
      <c r="D69" s="19" t="s">
        <v>49</v>
      </c>
      <c r="E69" s="19" t="s">
        <v>130</v>
      </c>
      <c r="F69" s="8" t="s">
        <v>264</v>
      </c>
      <c r="G69" s="20" t="s">
        <v>285</v>
      </c>
      <c r="H69" s="21" t="str">
        <f>IF('TT MD'!F9="","Thomas &amp; Ray",'TT MD'!F9)</f>
        <v>Thomas &amp; Ray</v>
      </c>
      <c r="I69" s="21" t="str">
        <f>IF('TT MD'!F10="","Winner TMD-R1-01",'TT MD'!F10)</f>
        <v>Bonny &amp; Akshay</v>
      </c>
    </row>
    <row r="70" ht="15.75" customHeight="1">
      <c r="A70" s="8" t="s">
        <v>260</v>
      </c>
      <c r="B70" s="18" t="s">
        <v>185</v>
      </c>
      <c r="C70" s="8" t="s">
        <v>186</v>
      </c>
      <c r="D70" s="19" t="s">
        <v>53</v>
      </c>
      <c r="E70" s="19" t="s">
        <v>15</v>
      </c>
      <c r="F70" s="8" t="s">
        <v>57</v>
      </c>
      <c r="G70" s="20" t="s">
        <v>289</v>
      </c>
      <c r="H70" s="21" t="str">
        <f>IF(Carroms!F9="","Anan Nasreen &amp; Avani",Carroms!F9)</f>
        <v>Anan Nasreen &amp; Avani</v>
      </c>
      <c r="I70" s="21" t="str">
        <f>IF(Carroms!F10="","Winner CR-R1-01",Carroms!F10)</f>
        <v>Merrin &amp; Anandhakrishnan</v>
      </c>
    </row>
    <row r="71" ht="15.75" customHeight="1">
      <c r="A71" s="8" t="s">
        <v>260</v>
      </c>
      <c r="B71" s="18" t="s">
        <v>255</v>
      </c>
      <c r="C71" s="8" t="s">
        <v>256</v>
      </c>
      <c r="D71" s="19" t="s">
        <v>49</v>
      </c>
      <c r="E71" s="19" t="s">
        <v>130</v>
      </c>
      <c r="F71" s="8" t="s">
        <v>264</v>
      </c>
      <c r="G71" s="20" t="s">
        <v>292</v>
      </c>
      <c r="H71" s="21" t="str">
        <f>IF('TT MD'!F17="","Winner TMD-R1-02",'TT MD'!F17)</f>
        <v>Rishikesh &amp; Amit</v>
      </c>
      <c r="I71" s="21" t="str">
        <f>IF('TT MD'!F18="","Winner TMD-R1-03",'TT MD'!F18)</f>
        <v>Subin &amp; Sahil M I</v>
      </c>
    </row>
    <row r="72" ht="15.75" customHeight="1">
      <c r="A72" s="65" t="s">
        <v>294</v>
      </c>
      <c r="B72" s="16"/>
      <c r="C72" s="16"/>
      <c r="D72" s="16"/>
      <c r="E72" s="16"/>
      <c r="F72" s="16"/>
      <c r="G72" s="16"/>
      <c r="H72" s="16"/>
      <c r="I72" s="17"/>
    </row>
    <row r="73" ht="15.75" customHeight="1">
      <c r="A73" s="15" t="s">
        <v>295</v>
      </c>
      <c r="B73" s="16"/>
      <c r="C73" s="16"/>
      <c r="D73" s="16"/>
      <c r="E73" s="16"/>
      <c r="F73" s="16"/>
      <c r="G73" s="16"/>
      <c r="H73" s="16"/>
      <c r="I73" s="17"/>
    </row>
    <row r="74" ht="15.75" customHeight="1">
      <c r="A74" s="8" t="s">
        <v>21</v>
      </c>
      <c r="B74" s="18" t="s">
        <v>47</v>
      </c>
      <c r="C74" s="8" t="s">
        <v>160</v>
      </c>
      <c r="D74" s="19" t="s">
        <v>49</v>
      </c>
      <c r="E74" s="19" t="s">
        <v>130</v>
      </c>
      <c r="F74" s="8" t="s">
        <v>264</v>
      </c>
      <c r="G74" s="20" t="s">
        <v>296</v>
      </c>
      <c r="H74" s="21" t="str">
        <f>IF('TT MD'!F25="","Bilal &amp; Deekshith",'TT MD'!F25)</f>
        <v>Bilal &amp; Deekshith</v>
      </c>
      <c r="I74" s="21" t="str">
        <f>IF('TT MD'!F26="","Winner TMD-R1-04",'TT MD'!F26)</f>
        <v>Prajith &amp; Nived</v>
      </c>
    </row>
    <row r="75" ht="15.75" customHeight="1">
      <c r="A75" s="8" t="s">
        <v>21</v>
      </c>
      <c r="B75" s="18" t="s">
        <v>47</v>
      </c>
      <c r="C75" s="8" t="s">
        <v>52</v>
      </c>
      <c r="D75" s="19" t="s">
        <v>53</v>
      </c>
      <c r="E75" s="19" t="s">
        <v>15</v>
      </c>
      <c r="F75" s="8" t="s">
        <v>50</v>
      </c>
      <c r="G75" s="20" t="s">
        <v>298</v>
      </c>
      <c r="H75" s="21" t="str">
        <f>IF(Carroms!B59="","Ray &amp; Boban Paul",Carroms!B59)</f>
        <v>Ray &amp; Boban Paul</v>
      </c>
      <c r="I75" s="21" t="str">
        <f>IF(Carroms!B60="","Hrishikesh &amp; Jayakrishnan",Carroms!B60)</f>
        <v>Hrishikesh &amp; Jayakrishnan</v>
      </c>
    </row>
    <row r="76" ht="15.75" customHeight="1">
      <c r="A76" s="8" t="s">
        <v>21</v>
      </c>
      <c r="B76" s="18" t="s">
        <v>52</v>
      </c>
      <c r="C76" s="8" t="s">
        <v>229</v>
      </c>
      <c r="D76" s="19" t="s">
        <v>49</v>
      </c>
      <c r="E76" s="19" t="s">
        <v>130</v>
      </c>
      <c r="F76" s="8" t="s">
        <v>264</v>
      </c>
      <c r="G76" s="20" t="s">
        <v>299</v>
      </c>
      <c r="H76" s="21" t="str">
        <f>IF('TT MD'!F33="","Rithik P Vijay &amp; Prathyush",'TT MD'!F33)</f>
        <v>Rithik P Vijay &amp; Prathyush</v>
      </c>
      <c r="I76" s="21" t="str">
        <f>IF('TT MD'!F34="","Winner TMD-R1-05",'TT MD'!F34)</f>
        <v>Rajeesh C V &amp; Soorya Thejas</v>
      </c>
    </row>
    <row r="77" ht="15.75" customHeight="1">
      <c r="A77" s="8" t="s">
        <v>21</v>
      </c>
      <c r="B77" s="18" t="s">
        <v>163</v>
      </c>
      <c r="C77" s="8" t="s">
        <v>164</v>
      </c>
      <c r="D77" s="19" t="s">
        <v>53</v>
      </c>
      <c r="E77" s="19" t="s">
        <v>15</v>
      </c>
      <c r="F77" s="8" t="s">
        <v>57</v>
      </c>
      <c r="G77" s="20" t="s">
        <v>302</v>
      </c>
      <c r="H77" s="21" t="str">
        <f>IF(Carroms!F33="","Winner CR-R1-06",Carroms!F33)</f>
        <v>Gokul K R &amp; Anurag</v>
      </c>
      <c r="I77" s="21" t="str">
        <f>IF(Carroms!F34="","Winner CR-R1-07",Carroms!F34)</f>
        <v>Akshay &amp; Gouresh</v>
      </c>
    </row>
    <row r="78" ht="15.75" customHeight="1">
      <c r="A78" s="8" t="s">
        <v>21</v>
      </c>
      <c r="B78" s="18" t="s">
        <v>166</v>
      </c>
      <c r="C78" s="8" t="s">
        <v>167</v>
      </c>
      <c r="D78" s="19" t="s">
        <v>12</v>
      </c>
      <c r="E78" s="19" t="s">
        <v>12</v>
      </c>
      <c r="F78" s="8" t="s">
        <v>303</v>
      </c>
      <c r="G78" s="20" t="s">
        <v>304</v>
      </c>
      <c r="H78" s="21" t="str">
        <f>IF(Chess!N21="","Winner CH-R3-01",Chess!N21)</f>
        <v>Hrishikesh</v>
      </c>
      <c r="I78" s="21" t="str">
        <f>IF(Chess!N22="","Winner CH-R3-02",Chess!N22)</f>
        <v>Sravan</v>
      </c>
    </row>
    <row r="79" ht="15.75" customHeight="1">
      <c r="A79" s="8" t="s">
        <v>21</v>
      </c>
      <c r="B79" s="18" t="s">
        <v>307</v>
      </c>
      <c r="C79" s="8" t="s">
        <v>236</v>
      </c>
      <c r="D79" s="19" t="s">
        <v>49</v>
      </c>
      <c r="E79" s="19" t="s">
        <v>19</v>
      </c>
      <c r="F79" s="8" t="s">
        <v>264</v>
      </c>
      <c r="G79" s="20" t="s">
        <v>309</v>
      </c>
      <c r="H79" s="21" t="str">
        <f>IF('TT WS'!B7="","Ashna",'TT WS'!B7)</f>
        <v>Ashna</v>
      </c>
      <c r="I79" s="21" t="str">
        <f>IF('TT WS'!B8="","Neethu",'TT WS'!B8)</f>
        <v>Neethu</v>
      </c>
    </row>
    <row r="80" ht="15.75" customHeight="1">
      <c r="A80" s="8" t="s">
        <v>21</v>
      </c>
      <c r="B80" s="18" t="s">
        <v>310</v>
      </c>
      <c r="C80" s="8" t="s">
        <v>311</v>
      </c>
      <c r="D80" s="19" t="s">
        <v>53</v>
      </c>
      <c r="E80" s="19" t="s">
        <v>15</v>
      </c>
      <c r="F80" s="8" t="s">
        <v>57</v>
      </c>
      <c r="G80" s="20" t="s">
        <v>312</v>
      </c>
      <c r="H80" s="21" t="str">
        <f>IF(Carroms!F65="","Winner CR-R1-14",Carroms!F65)</f>
        <v>Abhishek P S &amp; Vidhya M Robert</v>
      </c>
      <c r="I80" s="21" t="str">
        <f>IF(Carroms!F66="","Winner CR-R1-15",Carroms!F66)</f>
        <v>Jithu &amp; Bilsy</v>
      </c>
    </row>
    <row r="81" ht="15.75" customHeight="1">
      <c r="A81" s="8" t="s">
        <v>21</v>
      </c>
      <c r="B81" s="18" t="s">
        <v>313</v>
      </c>
      <c r="C81" s="8" t="s">
        <v>179</v>
      </c>
      <c r="D81" s="19" t="s">
        <v>49</v>
      </c>
      <c r="E81" s="19" t="s">
        <v>17</v>
      </c>
      <c r="F81" s="8" t="s">
        <v>264</v>
      </c>
      <c r="G81" s="20" t="s">
        <v>314</v>
      </c>
      <c r="H81" s="21" t="str">
        <f>IF('TT MS'!J40="","Winner TMS-R2-05",'TT MS'!J40)</f>
        <v>Thomas</v>
      </c>
      <c r="I81" s="21" t="str">
        <f>IF('TT MS'!J41="","Winner TMS-R2-06",'TT MS'!J41)</f>
        <v>Soorya Thejas</v>
      </c>
    </row>
    <row r="82" ht="15.75" customHeight="1">
      <c r="A82" s="8" t="s">
        <v>21</v>
      </c>
      <c r="B82" s="18" t="s">
        <v>316</v>
      </c>
      <c r="C82" s="8" t="s">
        <v>317</v>
      </c>
      <c r="D82" s="19" t="s">
        <v>53</v>
      </c>
      <c r="E82" s="19" t="s">
        <v>15</v>
      </c>
      <c r="F82" s="8" t="s">
        <v>57</v>
      </c>
      <c r="G82" s="20" t="s">
        <v>318</v>
      </c>
      <c r="H82" s="21" t="str">
        <f>IF(Carroms!F41="","Winner CR-R1-08",Carroms!F41)</f>
        <v>Sharon &amp; Amit</v>
      </c>
      <c r="I82" s="21" t="str">
        <f>IF(Carroms!F42="","Winner CR-R1-09",Carroms!F42)</f>
        <v>Rajeesh C V &amp; Ibrahim</v>
      </c>
    </row>
    <row r="83" ht="15.75" customHeight="1">
      <c r="A83" s="8" t="s">
        <v>21</v>
      </c>
      <c r="B83" s="18" t="s">
        <v>240</v>
      </c>
      <c r="C83" s="8" t="s">
        <v>241</v>
      </c>
      <c r="D83" s="19" t="s">
        <v>49</v>
      </c>
      <c r="E83" s="19" t="s">
        <v>19</v>
      </c>
      <c r="F83" s="8" t="s">
        <v>264</v>
      </c>
      <c r="G83" s="20" t="s">
        <v>319</v>
      </c>
      <c r="H83" s="21" t="str">
        <f>IF('TT WS'!B15="","Akhila",'TT WS'!B15)</f>
        <v>Akhila</v>
      </c>
      <c r="I83" s="21" t="str">
        <f>IF('TT WS'!B16="","Anan Nasreen",'TT WS'!B16)</f>
        <v>Anan Nasreen</v>
      </c>
    </row>
    <row r="84" ht="15.75" customHeight="1">
      <c r="A84" s="8" t="s">
        <v>21</v>
      </c>
      <c r="B84" s="18" t="s">
        <v>180</v>
      </c>
      <c r="C84" s="8" t="s">
        <v>247</v>
      </c>
      <c r="D84" s="19" t="s">
        <v>49</v>
      </c>
      <c r="E84" s="19" t="s">
        <v>19</v>
      </c>
      <c r="F84" s="8" t="s">
        <v>264</v>
      </c>
      <c r="G84" s="20" t="s">
        <v>320</v>
      </c>
      <c r="H84" s="21" t="str">
        <f>IF('TT WS'!B11="","Sradha Santhosh",'TT WS'!B11)</f>
        <v>Sradha Santhosh</v>
      </c>
      <c r="I84" s="21" t="str">
        <f>IF('TT WS'!B12="","Deepanjali",'TT WS'!B12)</f>
        <v>Deepanjali</v>
      </c>
    </row>
    <row r="85" ht="15.75" customHeight="1">
      <c r="A85" s="8" t="s">
        <v>21</v>
      </c>
      <c r="B85" s="18" t="s">
        <v>323</v>
      </c>
      <c r="C85" s="8" t="s">
        <v>324</v>
      </c>
      <c r="D85" s="19" t="s">
        <v>53</v>
      </c>
      <c r="E85" s="19" t="s">
        <v>15</v>
      </c>
      <c r="F85" s="8" t="s">
        <v>57</v>
      </c>
      <c r="G85" s="20" t="s">
        <v>325</v>
      </c>
      <c r="H85" s="21" t="str">
        <f>IF(Carroms!F17="","Winner CR-R1-02",Carroms!F17)</f>
        <v>Ashmil &amp; Prajith</v>
      </c>
      <c r="I85" s="21" t="str">
        <f>IF(Carroms!F18="","Winner CR-R1-03",Carroms!F18)</f>
        <v>Gautham &amp; Don</v>
      </c>
    </row>
    <row r="86" ht="15.75" customHeight="1">
      <c r="A86" s="8" t="s">
        <v>21</v>
      </c>
      <c r="B86" s="18" t="s">
        <v>255</v>
      </c>
      <c r="C86" s="8" t="s">
        <v>191</v>
      </c>
      <c r="D86" s="19" t="s">
        <v>49</v>
      </c>
      <c r="E86" s="19" t="s">
        <v>17</v>
      </c>
      <c r="F86" s="8" t="s">
        <v>264</v>
      </c>
      <c r="G86" s="20" t="s">
        <v>326</v>
      </c>
      <c r="H86" s="21" t="str">
        <f>IF('TT MS'!J25="","Winner TMS-R2-03",'TT MS'!J25)</f>
        <v>Amit</v>
      </c>
      <c r="I86" s="21" t="str">
        <f>IF('TT MS'!J26="","Winner TMS-R2-04",'TT MS'!J26)</f>
        <v>Nidheesh P V</v>
      </c>
    </row>
    <row r="87" ht="15.75" customHeight="1">
      <c r="A87" s="15" t="s">
        <v>327</v>
      </c>
      <c r="B87" s="16"/>
      <c r="C87" s="16"/>
      <c r="D87" s="16"/>
      <c r="E87" s="16"/>
      <c r="F87" s="16"/>
      <c r="G87" s="16"/>
      <c r="H87" s="16"/>
      <c r="I87" s="17"/>
    </row>
    <row r="88" ht="15.75" customHeight="1">
      <c r="A88" s="8" t="s">
        <v>152</v>
      </c>
      <c r="B88" s="18" t="s">
        <v>47</v>
      </c>
      <c r="C88" s="8" t="s">
        <v>48</v>
      </c>
      <c r="D88" s="19" t="s">
        <v>49</v>
      </c>
      <c r="E88" s="19" t="s">
        <v>17</v>
      </c>
      <c r="F88" s="8" t="s">
        <v>264</v>
      </c>
      <c r="G88" s="20" t="s">
        <v>328</v>
      </c>
      <c r="H88" s="21" t="str">
        <f>IF('TT MS'!J53="","Winner TMS-R2-07",'TT MS'!J53)</f>
        <v>Rajeesh C V</v>
      </c>
      <c r="I88" s="21" t="str">
        <f>IF('TT MS'!J54="","Winner TMS-R2-08",'TT MS'!J54)</f>
        <v>Rishikesh</v>
      </c>
    </row>
    <row r="89" ht="15.75" customHeight="1">
      <c r="A89" s="8" t="s">
        <v>152</v>
      </c>
      <c r="B89" s="18" t="s">
        <v>47</v>
      </c>
      <c r="C89" s="8" t="s">
        <v>52</v>
      </c>
      <c r="D89" s="19" t="s">
        <v>53</v>
      </c>
      <c r="E89" s="19" t="s">
        <v>15</v>
      </c>
      <c r="F89" s="8" t="s">
        <v>57</v>
      </c>
      <c r="G89" s="20" t="s">
        <v>329</v>
      </c>
      <c r="H89" s="21" t="str">
        <f>IF(Carroms!F25="","Winner CR-R1-04",Carroms!F25)</f>
        <v>Deekshith &amp; Akshay</v>
      </c>
      <c r="I89" s="21" t="str">
        <f>IF(Carroms!F26="","Winner CR-R1-05",Carroms!F26)</f>
        <v>Sarath Joseph &amp; Adhith Vinoj</v>
      </c>
    </row>
    <row r="90" ht="15.75" customHeight="1">
      <c r="A90" s="8" t="s">
        <v>152</v>
      </c>
      <c r="B90" s="18" t="s">
        <v>160</v>
      </c>
      <c r="C90" s="8" t="s">
        <v>161</v>
      </c>
      <c r="D90" s="19" t="s">
        <v>49</v>
      </c>
      <c r="E90" s="19" t="s">
        <v>19</v>
      </c>
      <c r="F90" s="8" t="s">
        <v>264</v>
      </c>
      <c r="G90" s="20" t="s">
        <v>330</v>
      </c>
      <c r="H90" s="21" t="str">
        <f>IF('TT WS'!B19="","Aparna",'TT WS'!B19)</f>
        <v>Aparna</v>
      </c>
      <c r="I90" s="21" t="str">
        <f>IF('TT WS'!B20="","Nivya Mathew",'TT WS'!B20)</f>
        <v>Nivya Mathew</v>
      </c>
    </row>
    <row r="91" ht="15.75" customHeight="1">
      <c r="A91" s="8" t="s">
        <v>152</v>
      </c>
      <c r="B91" s="18" t="s">
        <v>163</v>
      </c>
      <c r="C91" s="8" t="s">
        <v>164</v>
      </c>
      <c r="D91" s="19" t="s">
        <v>53</v>
      </c>
      <c r="E91" s="19" t="s">
        <v>15</v>
      </c>
      <c r="F91" s="8" t="s">
        <v>57</v>
      </c>
      <c r="G91" s="20" t="s">
        <v>331</v>
      </c>
      <c r="H91" s="21" t="str">
        <f>IF(Carroms!F49="","Winner CR-R1-10",Carroms!F49)</f>
        <v>Akhila &amp; Athira</v>
      </c>
      <c r="I91" s="21" t="str">
        <f>IF(Carroms!F50="","Winner CR-R1-11",Carroms!F50)</f>
        <v>Samin &amp; Nikhil</v>
      </c>
    </row>
    <row r="92" ht="15.75" customHeight="1">
      <c r="A92" s="8" t="s">
        <v>152</v>
      </c>
      <c r="B92" s="18" t="s">
        <v>166</v>
      </c>
      <c r="C92" s="8" t="s">
        <v>167</v>
      </c>
      <c r="D92" s="19" t="s">
        <v>12</v>
      </c>
      <c r="E92" s="19" t="s">
        <v>12</v>
      </c>
      <c r="F92" s="8" t="s">
        <v>303</v>
      </c>
      <c r="G92" s="20" t="s">
        <v>332</v>
      </c>
      <c r="H92" s="21" t="str">
        <f>IF(Chess!N53="","Winner CH-R3-03",Chess!N53)</f>
        <v>Benison</v>
      </c>
      <c r="I92" s="21" t="str">
        <f>IF(Chess!N54="","Winner CH-R3-04",Chess!N54)</f>
        <v>Akshay A</v>
      </c>
    </row>
    <row r="93" ht="15.75" customHeight="1">
      <c r="A93" s="8" t="s">
        <v>152</v>
      </c>
      <c r="B93" s="18" t="s">
        <v>169</v>
      </c>
      <c r="C93" s="8" t="s">
        <v>170</v>
      </c>
      <c r="D93" s="19" t="s">
        <v>49</v>
      </c>
      <c r="E93" s="19" t="s">
        <v>17</v>
      </c>
      <c r="F93" s="8" t="s">
        <v>303</v>
      </c>
      <c r="G93" s="20" t="s">
        <v>333</v>
      </c>
      <c r="H93" s="21" t="str">
        <f>IF('TT MS'!N19="","Winner TMS-R3-01",'TT MS'!N19)</f>
        <v>Rithik P Vijay</v>
      </c>
      <c r="I93" s="21" t="str">
        <f>IF('TT MS'!N20="","Winner TMS-R3-02",'TT MS'!N20)</f>
        <v>Amit</v>
      </c>
    </row>
    <row r="94" ht="15.75" customHeight="1">
      <c r="A94" s="8" t="s">
        <v>152</v>
      </c>
      <c r="B94" s="18" t="s">
        <v>334</v>
      </c>
      <c r="C94" s="8" t="s">
        <v>316</v>
      </c>
      <c r="D94" s="19" t="s">
        <v>49</v>
      </c>
      <c r="E94" s="19" t="s">
        <v>143</v>
      </c>
      <c r="F94" s="8" t="s">
        <v>303</v>
      </c>
      <c r="G94" s="20" t="s">
        <v>335</v>
      </c>
      <c r="H94" s="21" t="str">
        <f>IF('TT WD'!B11="","Akhila &amp; Ashna",'TT WD'!B11)</f>
        <v>Akhila &amp; Ashna</v>
      </c>
      <c r="I94" s="21" t="str">
        <f>IF('TT WD'!B12="","Neethu &amp; Nivya Mathew",'TT WD'!B12)</f>
        <v>Neethu &amp; Nivya Mathew</v>
      </c>
    </row>
    <row r="95" ht="15.75" customHeight="1">
      <c r="A95" s="8" t="s">
        <v>152</v>
      </c>
      <c r="B95" s="18" t="s">
        <v>179</v>
      </c>
      <c r="C95" s="8" t="s">
        <v>180</v>
      </c>
      <c r="D95" s="19" t="s">
        <v>53</v>
      </c>
      <c r="E95" s="19" t="s">
        <v>15</v>
      </c>
      <c r="F95" s="8" t="s">
        <v>57</v>
      </c>
      <c r="G95" s="20" t="s">
        <v>336</v>
      </c>
      <c r="H95" s="21" t="str">
        <f>IF(Carroms!F57="","Winner CR-R1-12",Carroms!F57)</f>
        <v>Abhijith K V &amp; Divin</v>
      </c>
      <c r="I95" s="21" t="str">
        <f>IF(Carroms!F58="","Winner CR-R1-13",Carroms!F58)</f>
        <v>Hrishikesh &amp; Jayakrishnan</v>
      </c>
    </row>
    <row r="96" ht="15.75" customHeight="1">
      <c r="A96" s="8" t="s">
        <v>152</v>
      </c>
      <c r="B96" s="18" t="s">
        <v>337</v>
      </c>
      <c r="C96" s="8" t="s">
        <v>317</v>
      </c>
      <c r="D96" s="19" t="s">
        <v>49</v>
      </c>
      <c r="E96" s="19" t="s">
        <v>130</v>
      </c>
      <c r="F96" s="8" t="s">
        <v>303</v>
      </c>
      <c r="G96" s="20" t="s">
        <v>338</v>
      </c>
      <c r="H96" s="21" t="str">
        <f>IF('TT MD'!J29="","Winner TMD-R2-03",'TT MD'!J29)</f>
        <v>Prajith &amp; Nived</v>
      </c>
      <c r="I96" s="21" t="str">
        <f>IF('TT MD'!J30="","Winner TMD-R2-04",'TT MD'!J30)</f>
        <v>Rithik P Vijay &amp; Prathyush</v>
      </c>
    </row>
    <row r="97" ht="15.75" customHeight="1">
      <c r="A97" s="8" t="s">
        <v>152</v>
      </c>
      <c r="B97" s="18" t="s">
        <v>323</v>
      </c>
      <c r="C97" s="8" t="s">
        <v>339</v>
      </c>
      <c r="D97" s="19" t="s">
        <v>49</v>
      </c>
      <c r="E97" s="19" t="s">
        <v>143</v>
      </c>
      <c r="F97" s="8" t="s">
        <v>303</v>
      </c>
      <c r="G97" s="20" t="s">
        <v>340</v>
      </c>
      <c r="H97" s="21" t="str">
        <f>IF('TT WD'!B7="","Aparna &amp; Deepanjali",'TT WD'!B7)</f>
        <v>Aparna &amp; Deepanjali</v>
      </c>
      <c r="I97" s="21" t="str">
        <f>IF('TT WD'!B8="","Sradha Santhosh &amp; Aryamol",'TT WD'!B8)</f>
        <v>Sradha Santhosh &amp; Aryamol</v>
      </c>
    </row>
    <row r="98" ht="15.75" customHeight="1">
      <c r="A98" s="8" t="s">
        <v>152</v>
      </c>
      <c r="B98" s="18" t="s">
        <v>341</v>
      </c>
      <c r="C98" s="8" t="s">
        <v>342</v>
      </c>
      <c r="D98" s="19" t="s">
        <v>53</v>
      </c>
      <c r="E98" s="19" t="s">
        <v>15</v>
      </c>
      <c r="F98" s="8" t="s">
        <v>264</v>
      </c>
      <c r="G98" s="20" t="s">
        <v>343</v>
      </c>
      <c r="H98" s="21" t="str">
        <f>IF(Carroms!J13="","Winner CR-R2-01",Carroms!J13)</f>
        <v>Merrin &amp; Anandhakrishnan</v>
      </c>
      <c r="I98" s="21" t="str">
        <f>IF(Carroms!J14="","Winner CR-R2-02",Carroms!J14)</f>
        <v>Ashmil &amp; Prajith</v>
      </c>
    </row>
    <row r="99" ht="15.75" customHeight="1">
      <c r="A99" s="8" t="s">
        <v>152</v>
      </c>
      <c r="B99" s="18" t="s">
        <v>324</v>
      </c>
      <c r="C99" s="8" t="s">
        <v>344</v>
      </c>
      <c r="D99" s="19" t="s">
        <v>49</v>
      </c>
      <c r="E99" s="19" t="s">
        <v>130</v>
      </c>
      <c r="F99" s="8" t="s">
        <v>303</v>
      </c>
      <c r="G99" s="20" t="s">
        <v>345</v>
      </c>
      <c r="H99" s="21" t="str">
        <f>IF('TT MD'!J13="","Winner TMD-R2-01",'TT MD'!J13)</f>
        <v>Thomas &amp; Ray</v>
      </c>
      <c r="I99" s="21" t="str">
        <f>IF('TT MD'!J14="","Winner TMD-R2-02",'TT MD'!J14)</f>
        <v>Rishikesh &amp; Amit</v>
      </c>
    </row>
    <row r="100" ht="15.75" customHeight="1">
      <c r="A100" s="15" t="s">
        <v>346</v>
      </c>
      <c r="B100" s="16"/>
      <c r="C100" s="16"/>
      <c r="D100" s="16"/>
      <c r="E100" s="16"/>
      <c r="F100" s="16"/>
      <c r="G100" s="16"/>
      <c r="H100" s="16"/>
      <c r="I100" s="17"/>
    </row>
    <row r="101" ht="15.75" customHeight="1">
      <c r="A101" s="8" t="s">
        <v>347</v>
      </c>
      <c r="B101" s="18" t="s">
        <v>47</v>
      </c>
      <c r="C101" s="8" t="s">
        <v>48</v>
      </c>
      <c r="D101" s="19" t="s">
        <v>49</v>
      </c>
      <c r="E101" s="19" t="s">
        <v>17</v>
      </c>
      <c r="F101" s="8" t="s">
        <v>303</v>
      </c>
      <c r="G101" s="20" t="s">
        <v>348</v>
      </c>
      <c r="H101" s="21" t="str">
        <f>IF('TT MS'!N47="","Winner TMS-R3-03",'TT MS'!N47)</f>
        <v>Thomas</v>
      </c>
      <c r="I101" s="21" t="str">
        <f>IF('TT MS'!N48="","Winner TMS-R3-04",'TT MS'!N48)</f>
        <v>Rishikesh</v>
      </c>
    </row>
    <row r="102" ht="15.75" customHeight="1">
      <c r="A102" s="8" t="s">
        <v>347</v>
      </c>
      <c r="B102" s="18" t="s">
        <v>160</v>
      </c>
      <c r="C102" s="8" t="s">
        <v>161</v>
      </c>
      <c r="D102" s="19" t="s">
        <v>49</v>
      </c>
      <c r="E102" s="19" t="s">
        <v>19</v>
      </c>
      <c r="F102" s="8" t="s">
        <v>303</v>
      </c>
      <c r="G102" s="20" t="s">
        <v>349</v>
      </c>
      <c r="H102" s="21" t="str">
        <f>IF('TT WS'!F9="","Winner TWS-R1-01",'TT WS'!F9)</f>
        <v>Neethu</v>
      </c>
      <c r="I102" s="21" t="str">
        <f>IF('TT WS'!F10="","Winner TWS-R1-02",'TT WS'!F10)</f>
        <v>Sradha Santhosh</v>
      </c>
    </row>
    <row r="103" ht="15.75" customHeight="1">
      <c r="A103" s="8" t="s">
        <v>347</v>
      </c>
      <c r="B103" s="18" t="s">
        <v>350</v>
      </c>
      <c r="C103" s="8" t="s">
        <v>351</v>
      </c>
      <c r="D103" s="19" t="s">
        <v>53</v>
      </c>
      <c r="E103" s="19" t="s">
        <v>15</v>
      </c>
      <c r="F103" s="8" t="s">
        <v>264</v>
      </c>
      <c r="G103" s="20" t="s">
        <v>352</v>
      </c>
      <c r="H103" s="21" t="str">
        <f>IF(Carroms!J45="","Winner CR-R2-05",Carroms!J45)</f>
        <v>Rajeesh C V &amp; Ibrahim</v>
      </c>
      <c r="I103" s="21" t="str">
        <f>IF(Carroms!J46="","Winner CR-R2-06",Carroms!J46)</f>
        <v>Samin &amp; Nikhil</v>
      </c>
    </row>
    <row r="104" ht="15.75" customHeight="1">
      <c r="A104" s="8" t="s">
        <v>347</v>
      </c>
      <c r="B104" s="18" t="s">
        <v>310</v>
      </c>
      <c r="C104" s="8" t="s">
        <v>311</v>
      </c>
      <c r="D104" s="19" t="s">
        <v>53</v>
      </c>
      <c r="E104" s="19" t="s">
        <v>15</v>
      </c>
      <c r="F104" s="8" t="s">
        <v>264</v>
      </c>
      <c r="G104" s="20" t="s">
        <v>353</v>
      </c>
      <c r="H104" s="21" t="str">
        <f>IF(Carroms!J29="","Winner CR-R2-03",Carroms!J29)</f>
        <v>Deekshith &amp; Akshay</v>
      </c>
      <c r="I104" s="21" t="str">
        <f>IF(Carroms!J30="","Winner CR-R2-04",Carroms!J30)</f>
        <v>Gokul K R &amp; Anurag</v>
      </c>
    </row>
    <row r="105" ht="15.75" customHeight="1">
      <c r="A105" s="8" t="s">
        <v>347</v>
      </c>
      <c r="B105" s="18" t="s">
        <v>272</v>
      </c>
      <c r="C105" s="8" t="s">
        <v>354</v>
      </c>
      <c r="D105" s="19" t="s">
        <v>49</v>
      </c>
      <c r="E105" s="19" t="s">
        <v>19</v>
      </c>
      <c r="F105" s="8" t="s">
        <v>303</v>
      </c>
      <c r="G105" s="20" t="s">
        <v>355</v>
      </c>
      <c r="H105" s="21" t="str">
        <f>IF('TT WS'!F17="","Winner TWS-R1-03",'TT WS'!F17)</f>
        <v>Akhila</v>
      </c>
      <c r="I105" s="21" t="str">
        <f>IF('TT WS'!F18="","Winner TWS-R1-04",'TT WS'!F18)</f>
        <v>Aparna</v>
      </c>
    </row>
    <row r="106" ht="15.75" customHeight="1">
      <c r="A106" s="8" t="s">
        <v>347</v>
      </c>
      <c r="B106" s="18" t="s">
        <v>316</v>
      </c>
      <c r="C106" s="8" t="s">
        <v>317</v>
      </c>
      <c r="D106" s="19" t="s">
        <v>53</v>
      </c>
      <c r="E106" s="19" t="s">
        <v>15</v>
      </c>
      <c r="F106" s="8" t="s">
        <v>264</v>
      </c>
      <c r="G106" s="20" t="s">
        <v>356</v>
      </c>
      <c r="H106" s="21" t="str">
        <f>IF(Carroms!J61="","Winner CR-R2-07",Carroms!J61)</f>
        <v>Hrishikesh &amp; Jayakrishnan</v>
      </c>
      <c r="I106" s="21" t="str">
        <f>IF(Carroms!J62="","Winner CR-R2-08",Carroms!J62)</f>
        <v>Jithu &amp; Bilsy</v>
      </c>
    </row>
    <row r="107" ht="15.75" customHeight="1">
      <c r="A107" s="8" t="s">
        <v>347</v>
      </c>
      <c r="B107" s="18" t="s">
        <v>323</v>
      </c>
      <c r="C107" s="8" t="s">
        <v>324</v>
      </c>
      <c r="D107" s="19" t="s">
        <v>53</v>
      </c>
      <c r="E107" s="19" t="s">
        <v>15</v>
      </c>
      <c r="F107" s="8" t="s">
        <v>303</v>
      </c>
      <c r="G107" s="20" t="s">
        <v>357</v>
      </c>
      <c r="H107" s="21" t="str">
        <f>IF(Carroms!N21="","Winner CR-R3-01",Carroms!N21)</f>
        <v>Ashmil &amp; Prajith</v>
      </c>
      <c r="I107" s="21" t="str">
        <f>IF(Carroms!N22="","Winner CR-R3-02",Carroms!N22)</f>
        <v>Gokul K R &amp; Anurag</v>
      </c>
    </row>
    <row r="108" ht="15.75" customHeight="1">
      <c r="A108" s="8" t="s">
        <v>347</v>
      </c>
      <c r="B108" s="18" t="s">
        <v>358</v>
      </c>
      <c r="C108" s="8" t="s">
        <v>359</v>
      </c>
      <c r="D108" s="19" t="s">
        <v>53</v>
      </c>
      <c r="E108" s="19" t="s">
        <v>15</v>
      </c>
      <c r="F108" s="8" t="s">
        <v>303</v>
      </c>
      <c r="G108" s="20" t="s">
        <v>360</v>
      </c>
      <c r="H108" s="21" t="str">
        <f>IF(Carroms!N53="","Winner CR-R3-03",Carroms!N53)</f>
        <v>Rajeesh C V &amp; Ibrahim</v>
      </c>
      <c r="I108" s="21" t="str">
        <f>IF(Carroms!N54="","Winner CR-R3-04",Carroms!N54)</f>
        <v>Jithu &amp; Bilsy</v>
      </c>
    </row>
    <row r="109" ht="15.75" customHeight="1">
      <c r="A109" s="15" t="s">
        <v>361</v>
      </c>
      <c r="B109" s="16"/>
      <c r="C109" s="16"/>
      <c r="D109" s="16"/>
      <c r="E109" s="16"/>
      <c r="F109" s="16"/>
      <c r="G109" s="16"/>
      <c r="H109" s="16"/>
      <c r="I109" s="17"/>
    </row>
    <row r="110" ht="15.75" customHeight="1">
      <c r="A110" s="8" t="s">
        <v>362</v>
      </c>
      <c r="B110" s="18" t="s">
        <v>47</v>
      </c>
      <c r="C110" s="8" t="s">
        <v>48</v>
      </c>
      <c r="D110" s="19" t="s">
        <v>49</v>
      </c>
      <c r="E110" s="19" t="s">
        <v>19</v>
      </c>
      <c r="F110" s="8" t="s">
        <v>11</v>
      </c>
      <c r="G110" s="20" t="s">
        <v>363</v>
      </c>
      <c r="H110" s="21" t="str">
        <f>IF('TT WS'!J18="","Loser TWS-R2-01",'TT WS'!J18)</f>
        <v>Sradha Santhosh</v>
      </c>
      <c r="I110" s="21" t="str">
        <f>IF('TT WS'!J19="","Loser TWS-R2-02",'TT WS'!J19)</f>
        <v>Akhila</v>
      </c>
    </row>
    <row r="111" ht="15.75" customHeight="1">
      <c r="A111" s="8" t="s">
        <v>362</v>
      </c>
      <c r="B111" s="18" t="s">
        <v>160</v>
      </c>
      <c r="C111" s="8" t="s">
        <v>351</v>
      </c>
      <c r="D111" s="19" t="s">
        <v>12</v>
      </c>
      <c r="E111" s="19" t="s">
        <v>12</v>
      </c>
      <c r="F111" s="8" t="s">
        <v>11</v>
      </c>
      <c r="G111" s="20" t="s">
        <v>364</v>
      </c>
      <c r="H111" s="21" t="str">
        <f>IF(Chess!R42="","Loser CH-R4-01",Chess!R42)</f>
        <v>Hrishikesh</v>
      </c>
      <c r="I111" s="21" t="str">
        <f>IF(Chess!R43="","Loser CH-R4-02",Chess!R43)</f>
        <v>Akshay A</v>
      </c>
    </row>
    <row r="112" ht="15.75" customHeight="1">
      <c r="A112" s="8" t="s">
        <v>362</v>
      </c>
      <c r="B112" s="18" t="s">
        <v>310</v>
      </c>
      <c r="C112" s="8" t="s">
        <v>365</v>
      </c>
      <c r="D112" s="19" t="s">
        <v>49</v>
      </c>
      <c r="E112" s="19" t="s">
        <v>17</v>
      </c>
      <c r="F112" s="8" t="s">
        <v>11</v>
      </c>
      <c r="G112" s="20" t="s">
        <v>366</v>
      </c>
      <c r="H112" s="21" t="str">
        <f>IF('TT MS'!R38="","Loser TMS-R4-01",'TT MS'!R38)</f>
        <v>Amit</v>
      </c>
      <c r="I112" s="21" t="str">
        <f>IF('TT MS'!R39="","Loser TMS-R4-02",'TT MS'!R39)</f>
        <v>Thomas</v>
      </c>
    </row>
    <row r="113" ht="15.75" customHeight="1">
      <c r="A113" s="8" t="s">
        <v>362</v>
      </c>
      <c r="B113" s="18" t="s">
        <v>367</v>
      </c>
      <c r="C113" s="8" t="s">
        <v>368</v>
      </c>
      <c r="D113" s="19" t="s">
        <v>53</v>
      </c>
      <c r="E113" s="19" t="s">
        <v>15</v>
      </c>
      <c r="F113" s="8" t="s">
        <v>11</v>
      </c>
      <c r="G113" s="20" t="s">
        <v>369</v>
      </c>
      <c r="H113" s="21" t="str">
        <f>IF(Carroms!R42="","Loser CR-R4-01",Carroms!R42)</f>
        <v>Loser CR-R4-01</v>
      </c>
      <c r="I113" s="21" t="str">
        <f>IF(Carroms!R43="","Loser CR-R4-02",Carroms!R43)</f>
        <v>Loser CR-R4-02</v>
      </c>
    </row>
    <row r="114" ht="15.75" customHeight="1">
      <c r="A114" s="8" t="s">
        <v>362</v>
      </c>
      <c r="B114" s="18" t="s">
        <v>370</v>
      </c>
      <c r="C114" s="8" t="s">
        <v>371</v>
      </c>
      <c r="D114" s="19" t="s">
        <v>49</v>
      </c>
      <c r="E114" s="19" t="s">
        <v>143</v>
      </c>
      <c r="F114" s="8" t="s">
        <v>11</v>
      </c>
      <c r="G114" s="20" t="s">
        <v>372</v>
      </c>
      <c r="H114" s="21" t="str">
        <f>IF('TT WD'!F14="","Loser TWD-R1-01",'TT WD'!F14)</f>
        <v>Aparna &amp; Deepanjali</v>
      </c>
      <c r="I114" s="21" t="str">
        <f>IF('TT WD'!F15="","Loser TWD-R1-02",'TT WD'!F15)</f>
        <v>Neethu &amp; Nivya Mathew</v>
      </c>
    </row>
    <row r="115" ht="15.75" customHeight="1">
      <c r="A115" s="8" t="s">
        <v>362</v>
      </c>
      <c r="B115" s="18" t="s">
        <v>373</v>
      </c>
      <c r="C115" s="8" t="s">
        <v>374</v>
      </c>
      <c r="D115" s="19" t="s">
        <v>49</v>
      </c>
      <c r="E115" s="19" t="s">
        <v>130</v>
      </c>
      <c r="F115" s="8" t="s">
        <v>11</v>
      </c>
      <c r="G115" s="20" t="s">
        <v>375</v>
      </c>
      <c r="H115" s="21" t="str">
        <f>IF('TT MD'!N26="","Loser TMD-R3-01",'TT MD'!N26)</f>
        <v>Thomas &amp; Ray</v>
      </c>
      <c r="I115" s="21" t="str">
        <f>IF('TT MD'!N27="","Loser TMD-R3-02",'TT MD'!N27)</f>
        <v>Rithik P Vijay &amp; Prathyush</v>
      </c>
    </row>
    <row r="116" ht="15.75" customHeight="1">
      <c r="A116" s="15" t="s">
        <v>376</v>
      </c>
      <c r="B116" s="16"/>
      <c r="C116" s="16"/>
      <c r="D116" s="16"/>
      <c r="E116" s="16"/>
      <c r="F116" s="16"/>
      <c r="G116" s="16"/>
      <c r="H116" s="16"/>
      <c r="I116" s="17"/>
    </row>
    <row r="117" ht="15.75" customHeight="1">
      <c r="A117" s="8" t="s">
        <v>225</v>
      </c>
      <c r="B117" s="18" t="s">
        <v>172</v>
      </c>
      <c r="C117" s="8"/>
      <c r="D117" s="19" t="s">
        <v>207</v>
      </c>
      <c r="E117" s="19" t="s">
        <v>207</v>
      </c>
      <c r="F117" s="8" t="s">
        <v>377</v>
      </c>
      <c r="G117" s="20" t="s">
        <v>378</v>
      </c>
      <c r="H117" s="21" t="str">
        <f>IF(Cricket!E19="","Team 1",Cricket!E19)</f>
        <v>Rajarajeshwari United</v>
      </c>
      <c r="I117" s="21" t="str">
        <f>IF(Cricket!F19="","Team 4",Cricket!F19)</f>
        <v>Thoofan</v>
      </c>
    </row>
    <row r="118" ht="15.75" customHeight="1">
      <c r="A118" s="8" t="s">
        <v>225</v>
      </c>
      <c r="B118" s="18" t="s">
        <v>379</v>
      </c>
      <c r="C118" s="8"/>
      <c r="D118" s="19" t="s">
        <v>207</v>
      </c>
      <c r="E118" s="19" t="s">
        <v>207</v>
      </c>
      <c r="F118" s="8" t="s">
        <v>380</v>
      </c>
      <c r="G118" s="20" t="s">
        <v>381</v>
      </c>
      <c r="H118" s="21" t="str">
        <f>IF(Cricket!E20="","Team 3",Cricket!E20)</f>
        <v>Dr. Dashamoolam</v>
      </c>
      <c r="I118" s="21" t="str">
        <f>IF(Cricket!F20="","Team 5",Cricket!F20)</f>
        <v>Dhurandhar</v>
      </c>
    </row>
    <row r="119" ht="15.75" customHeight="1">
      <c r="A119" s="8" t="s">
        <v>225</v>
      </c>
      <c r="B119" s="18" t="s">
        <v>379</v>
      </c>
      <c r="C119" s="8"/>
      <c r="D119" s="19" t="s">
        <v>207</v>
      </c>
      <c r="E119" s="19" t="s">
        <v>207</v>
      </c>
      <c r="F119" s="8" t="s">
        <v>377</v>
      </c>
      <c r="G119" s="20" t="s">
        <v>382</v>
      </c>
      <c r="H119" s="21" t="str">
        <f>IF(Cricket!E21="","Team 4",Cricket!E21)</f>
        <v>Thoofan</v>
      </c>
      <c r="I119" s="21" t="str">
        <f>IF(Cricket!F21="","Team 6",Cricket!F21)</f>
        <v>Aaram Thamburan</v>
      </c>
    </row>
    <row r="120" ht="15.75" customHeight="1">
      <c r="A120" s="15" t="s">
        <v>383</v>
      </c>
      <c r="B120" s="16"/>
      <c r="C120" s="16"/>
      <c r="D120" s="16"/>
      <c r="E120" s="16"/>
      <c r="F120" s="16"/>
      <c r="G120" s="16"/>
      <c r="H120" s="16"/>
      <c r="I120" s="17"/>
    </row>
    <row r="121" ht="15.75" customHeight="1">
      <c r="A121" s="8" t="s">
        <v>384</v>
      </c>
      <c r="B121" s="18" t="s">
        <v>172</v>
      </c>
      <c r="C121" s="8"/>
      <c r="D121" s="19" t="s">
        <v>207</v>
      </c>
      <c r="E121" s="19" t="s">
        <v>207</v>
      </c>
      <c r="F121" s="8" t="s">
        <v>380</v>
      </c>
      <c r="G121" s="20" t="s">
        <v>385</v>
      </c>
      <c r="H121" s="21" t="str">
        <f>IF(Cricket!E22="","Team 2",Cricket!E22)</f>
        <v>Jeem Boom Baa</v>
      </c>
      <c r="I121" s="21" t="str">
        <f>IF(Cricket!F22="","Team 3",Cricket!F22)</f>
        <v>Dr. Dashamoolam</v>
      </c>
    </row>
    <row r="122" ht="15.75" customHeight="1">
      <c r="A122" s="8" t="s">
        <v>384</v>
      </c>
      <c r="B122" s="18" t="s">
        <v>379</v>
      </c>
      <c r="C122" s="8"/>
      <c r="D122" s="19" t="s">
        <v>207</v>
      </c>
      <c r="E122" s="19" t="s">
        <v>207</v>
      </c>
      <c r="F122" s="8" t="s">
        <v>377</v>
      </c>
      <c r="G122" s="20" t="s">
        <v>386</v>
      </c>
      <c r="H122" s="21" t="str">
        <f>IF(Cricket!E23="","Team 6",Cricket!E23)</f>
        <v>Aaram Thamburan</v>
      </c>
      <c r="I122" s="21" t="str">
        <f>IF(Cricket!F23="","Team 1",Cricket!F23)</f>
        <v>Rajarajeshwari United</v>
      </c>
    </row>
    <row r="123" ht="15.75" customHeight="1">
      <c r="A123" s="8" t="s">
        <v>384</v>
      </c>
      <c r="B123" s="18" t="s">
        <v>379</v>
      </c>
      <c r="C123" s="8"/>
      <c r="D123" s="19" t="s">
        <v>207</v>
      </c>
      <c r="E123" s="19" t="s">
        <v>207</v>
      </c>
      <c r="F123" s="8" t="s">
        <v>380</v>
      </c>
      <c r="G123" s="20" t="s">
        <v>387</v>
      </c>
      <c r="H123" s="21" t="str">
        <f>IF(Cricket!E24="","Team 5",Cricket!E24)</f>
        <v>Dhurandhar</v>
      </c>
      <c r="I123" s="21" t="str">
        <f>IF(Cricket!F24="","Team 2",Cricket!F24)</f>
        <v>Jeem Boom Baa</v>
      </c>
    </row>
    <row r="124" ht="15.75" customHeight="1">
      <c r="A124" s="15" t="s">
        <v>388</v>
      </c>
      <c r="B124" s="16"/>
      <c r="C124" s="16"/>
      <c r="D124" s="16"/>
      <c r="E124" s="16"/>
      <c r="F124" s="16"/>
      <c r="G124" s="16"/>
      <c r="H124" s="16"/>
      <c r="I124" s="17"/>
    </row>
    <row r="125" ht="15.75" customHeight="1">
      <c r="A125" s="8" t="s">
        <v>228</v>
      </c>
      <c r="B125" s="18" t="s">
        <v>172</v>
      </c>
      <c r="C125" s="8"/>
      <c r="D125" s="19" t="s">
        <v>212</v>
      </c>
      <c r="E125" s="19" t="s">
        <v>212</v>
      </c>
      <c r="F125" s="8" t="s">
        <v>377</v>
      </c>
      <c r="G125" s="20" t="s">
        <v>389</v>
      </c>
      <c r="H125" s="21" t="str">
        <f>IF(Football!E19="","Team 1",Football!E19)</f>
        <v>Rajarajeshwari United</v>
      </c>
      <c r="I125" s="21" t="str">
        <f>IF(Football!F19="","Team 4",Football!F19)</f>
        <v>Thoofan</v>
      </c>
    </row>
    <row r="126" ht="15.75" customHeight="1">
      <c r="A126" s="8" t="s">
        <v>228</v>
      </c>
      <c r="B126" s="18" t="s">
        <v>379</v>
      </c>
      <c r="C126" s="8"/>
      <c r="D126" s="19" t="s">
        <v>212</v>
      </c>
      <c r="E126" s="19" t="s">
        <v>212</v>
      </c>
      <c r="F126" s="8" t="s">
        <v>380</v>
      </c>
      <c r="G126" s="20" t="s">
        <v>395</v>
      </c>
      <c r="H126" s="21" t="str">
        <f>IF(Football!E20="","Team 3",Football!E20)</f>
        <v>Dr. Dashamoolam</v>
      </c>
      <c r="I126" s="21" t="str">
        <f>IF(Football!F20="","Team 5",Football!F20)</f>
        <v>Dhurandhar</v>
      </c>
    </row>
    <row r="127" ht="15.75" customHeight="1">
      <c r="A127" s="8" t="s">
        <v>228</v>
      </c>
      <c r="B127" s="18" t="s">
        <v>379</v>
      </c>
      <c r="C127" s="8"/>
      <c r="D127" s="19" t="s">
        <v>212</v>
      </c>
      <c r="E127" s="19" t="s">
        <v>212</v>
      </c>
      <c r="F127" s="8" t="s">
        <v>377</v>
      </c>
      <c r="G127" s="20" t="s">
        <v>396</v>
      </c>
      <c r="H127" s="21" t="str">
        <f>IF(Football!E21="","Team 4",Football!E21)</f>
        <v>Thoofan</v>
      </c>
      <c r="I127" s="21" t="str">
        <f>IF(Football!F21="","Team 6",Football!F21)</f>
        <v>Aaram Thamburan</v>
      </c>
    </row>
    <row r="128" ht="15.75" customHeight="1">
      <c r="A128" s="15" t="s">
        <v>397</v>
      </c>
      <c r="B128" s="16"/>
      <c r="C128" s="16"/>
      <c r="D128" s="16"/>
      <c r="E128" s="16"/>
      <c r="F128" s="16"/>
      <c r="G128" s="16"/>
      <c r="H128" s="16"/>
      <c r="I128" s="17"/>
    </row>
    <row r="129" ht="15.75" customHeight="1">
      <c r="A129" s="8" t="s">
        <v>398</v>
      </c>
      <c r="B129" s="18" t="s">
        <v>172</v>
      </c>
      <c r="C129" s="8"/>
      <c r="D129" s="19" t="s">
        <v>212</v>
      </c>
      <c r="E129" s="19" t="s">
        <v>212</v>
      </c>
      <c r="F129" s="8" t="s">
        <v>380</v>
      </c>
      <c r="G129" s="20" t="s">
        <v>399</v>
      </c>
      <c r="H129" s="21" t="str">
        <f>IF(Football!E22="","Team 2",Football!E22)</f>
        <v>Jeem Boom Baa</v>
      </c>
      <c r="I129" s="21" t="str">
        <f>IF(Football!F22="","Team 3",Football!F22)</f>
        <v>Dr. Dashamoolam</v>
      </c>
    </row>
    <row r="130" ht="15.75" customHeight="1">
      <c r="A130" s="8" t="s">
        <v>398</v>
      </c>
      <c r="B130" s="18" t="s">
        <v>379</v>
      </c>
      <c r="C130" s="8"/>
      <c r="D130" s="19" t="s">
        <v>212</v>
      </c>
      <c r="E130" s="19" t="s">
        <v>212</v>
      </c>
      <c r="F130" s="8" t="s">
        <v>377</v>
      </c>
      <c r="G130" s="20" t="s">
        <v>400</v>
      </c>
      <c r="H130" s="21" t="str">
        <f>IF(Football!E23="","Team 6",Football!E23)</f>
        <v>Aaram Thamburan</v>
      </c>
      <c r="I130" s="21" t="str">
        <f>IF(Football!F23="","Team 1",Football!F23)</f>
        <v>Rajarajeshwari United</v>
      </c>
    </row>
    <row r="131" ht="15.75" customHeight="1">
      <c r="A131" s="8" t="s">
        <v>398</v>
      </c>
      <c r="B131" s="18" t="s">
        <v>379</v>
      </c>
      <c r="C131" s="8"/>
      <c r="D131" s="19" t="s">
        <v>212</v>
      </c>
      <c r="E131" s="19" t="s">
        <v>212</v>
      </c>
      <c r="F131" s="8" t="s">
        <v>380</v>
      </c>
      <c r="G131" s="20" t="s">
        <v>401</v>
      </c>
      <c r="H131" s="21" t="str">
        <f>IF(Football!E24="","Team 5",Football!E24)</f>
        <v>Dhurandhar</v>
      </c>
      <c r="I131" s="21" t="str">
        <f>IF(Football!F24="","Team 2",Football!F24)</f>
        <v>Jeem Boom Baa</v>
      </c>
    </row>
    <row r="132" ht="15.75" customHeight="1">
      <c r="A132" s="67" t="s">
        <v>402</v>
      </c>
      <c r="B132" s="16"/>
      <c r="C132" s="16"/>
      <c r="D132" s="16"/>
      <c r="E132" s="16"/>
      <c r="F132" s="16"/>
      <c r="G132" s="16"/>
      <c r="H132" s="16"/>
      <c r="I132" s="17"/>
    </row>
    <row r="133" ht="15.75" customHeight="1">
      <c r="A133" s="8" t="s">
        <v>156</v>
      </c>
      <c r="B133" s="18" t="s">
        <v>403</v>
      </c>
      <c r="C133" s="8" t="s">
        <v>404</v>
      </c>
      <c r="D133" s="19" t="s">
        <v>405</v>
      </c>
      <c r="E133" s="19" t="s">
        <v>154</v>
      </c>
      <c r="F133" s="8" t="s">
        <v>50</v>
      </c>
      <c r="G133" s="20" t="s">
        <v>406</v>
      </c>
      <c r="H133" s="21" t="str">
        <f>IF('Badminton MS'!B7="","Amal Jose",'Badminton MS'!B7)</f>
        <v>Amal Jose</v>
      </c>
      <c r="I133" s="21" t="str">
        <f>IF('Badminton MS'!B8="","Anandhan Sreekumar",'Badminton MS'!B8)</f>
        <v>Anandhan Sreekumar</v>
      </c>
    </row>
    <row r="134" ht="15.75" customHeight="1">
      <c r="A134" s="8" t="s">
        <v>156</v>
      </c>
      <c r="B134" s="18" t="s">
        <v>403</v>
      </c>
      <c r="C134" s="8" t="s">
        <v>404</v>
      </c>
      <c r="D134" s="19" t="s">
        <v>407</v>
      </c>
      <c r="E134" s="19" t="s">
        <v>154</v>
      </c>
      <c r="F134" s="8" t="s">
        <v>50</v>
      </c>
      <c r="G134" s="20" t="s">
        <v>408</v>
      </c>
      <c r="H134" s="21" t="str">
        <f>IF('Badminton MS'!B15="","Nidheesh P V",'Badminton MS'!B15)</f>
        <v>Nidheesh P V</v>
      </c>
      <c r="I134" s="21" t="str">
        <f>IF('Badminton MS'!B16="","Amit",'Badminton MS'!B16)</f>
        <v>Amit</v>
      </c>
    </row>
    <row r="135" ht="15.75" customHeight="1">
      <c r="A135" s="8" t="s">
        <v>156</v>
      </c>
      <c r="B135" s="18" t="s">
        <v>409</v>
      </c>
      <c r="C135" s="8" t="s">
        <v>410</v>
      </c>
      <c r="D135" s="19" t="s">
        <v>405</v>
      </c>
      <c r="E135" s="19" t="s">
        <v>154</v>
      </c>
      <c r="F135" s="8" t="s">
        <v>50</v>
      </c>
      <c r="G135" s="20" t="s">
        <v>411</v>
      </c>
      <c r="H135" s="21" t="str">
        <f>IF('Badminton MS'!B23="","Joyel",'Badminton MS'!B23)</f>
        <v>Joyel</v>
      </c>
      <c r="I135" s="21" t="str">
        <f>IF('Badminton MS'!B24="","Soorya Thejas",'Badminton MS'!B24)</f>
        <v>Soorya Thejas</v>
      </c>
    </row>
    <row r="136" ht="15.75" customHeight="1">
      <c r="A136" s="8" t="s">
        <v>156</v>
      </c>
      <c r="B136" s="18" t="s">
        <v>409</v>
      </c>
      <c r="C136" s="8" t="s">
        <v>410</v>
      </c>
      <c r="D136" s="19" t="s">
        <v>407</v>
      </c>
      <c r="E136" s="19" t="s">
        <v>195</v>
      </c>
      <c r="F136" s="8" t="s">
        <v>50</v>
      </c>
      <c r="G136" s="20" t="s">
        <v>415</v>
      </c>
      <c r="H136" s="21" t="str">
        <f>IF('Badminton WS'!B15="","Ashna",'Badminton WS'!B15)</f>
        <v>Ashna</v>
      </c>
      <c r="I136" s="21" t="str">
        <f>IF('Badminton WS'!B16="","Neethu",'Badminton WS'!B16)</f>
        <v>Neethu</v>
      </c>
    </row>
    <row r="137" ht="15.75" customHeight="1">
      <c r="A137" s="8" t="s">
        <v>156</v>
      </c>
      <c r="B137" s="18" t="s">
        <v>418</v>
      </c>
      <c r="C137" s="8" t="s">
        <v>419</v>
      </c>
      <c r="D137" s="19" t="s">
        <v>405</v>
      </c>
      <c r="E137" s="19" t="s">
        <v>200</v>
      </c>
      <c r="F137" s="8" t="s">
        <v>50</v>
      </c>
      <c r="G137" s="20" t="s">
        <v>420</v>
      </c>
      <c r="H137" s="21" t="str">
        <f>IF('Badminton MD'!B23="","Amal Jose &amp; Gokul K R",'Badminton MD'!B23)</f>
        <v>Amal Jose &amp; Gokul K R</v>
      </c>
      <c r="I137" s="21" t="str">
        <f>IF('Badminton MD'!B24="","Kevin Raj &amp; Adwaith Narayanan",'Badminton MD'!B24)</f>
        <v>Kevin Raj &amp; Adwaith Narayanan</v>
      </c>
    </row>
    <row r="138" ht="15.75" customHeight="1">
      <c r="A138" s="8" t="s">
        <v>156</v>
      </c>
      <c r="B138" s="18" t="s">
        <v>418</v>
      </c>
      <c r="C138" s="8" t="s">
        <v>419</v>
      </c>
      <c r="D138" s="19" t="s">
        <v>407</v>
      </c>
      <c r="E138" s="19" t="s">
        <v>200</v>
      </c>
      <c r="F138" s="8" t="s">
        <v>50</v>
      </c>
      <c r="G138" s="20" t="s">
        <v>423</v>
      </c>
      <c r="H138" s="21" t="str">
        <f>IF('Badminton MD'!B15="","Rajeesh C V &amp; Akhil P Jose",'Badminton MD'!B15)</f>
        <v>Rajeesh C V &amp; Akhil P Jose</v>
      </c>
      <c r="I138" s="21" t="str">
        <f>IF('Badminton MD'!B16="","Jayesh &amp; Ansam",'Badminton MD'!B16)</f>
        <v>Jayesh &amp; Ansam</v>
      </c>
    </row>
    <row r="139" ht="15.75" customHeight="1">
      <c r="A139" s="8" t="s">
        <v>156</v>
      </c>
      <c r="B139" s="18" t="s">
        <v>432</v>
      </c>
      <c r="C139" s="8" t="s">
        <v>433</v>
      </c>
      <c r="D139" s="19" t="s">
        <v>405</v>
      </c>
      <c r="E139" s="19" t="s">
        <v>203</v>
      </c>
      <c r="F139" s="8" t="s">
        <v>50</v>
      </c>
      <c r="G139" s="20" t="s">
        <v>434</v>
      </c>
      <c r="H139" s="21" t="str">
        <f>IF('Badminton WD'!B15="","Neethu &amp; Nivya Mathew",'Badminton WD'!B15)</f>
        <v>Neethu &amp; Nivya Mathew</v>
      </c>
      <c r="I139" s="21" t="str">
        <f>IF('Badminton WD'!B16="","Sradha Santhosh &amp; Aryamol",'Badminton WD'!B16)</f>
        <v>Sradha Santhosh &amp; Aryamol</v>
      </c>
    </row>
    <row r="140" ht="15.75" customHeight="1">
      <c r="A140" s="8" t="s">
        <v>156</v>
      </c>
      <c r="B140" s="18" t="s">
        <v>432</v>
      </c>
      <c r="C140" s="8" t="s">
        <v>433</v>
      </c>
      <c r="D140" s="19" t="s">
        <v>407</v>
      </c>
      <c r="E140" s="19" t="s">
        <v>200</v>
      </c>
      <c r="F140" s="8" t="s">
        <v>50</v>
      </c>
      <c r="G140" s="20" t="s">
        <v>437</v>
      </c>
      <c r="H140" s="21" t="str">
        <f>IF('Badminton MD'!B31="","Joel Paul &amp; Musthaq",'Badminton MD'!B31)</f>
        <v>Joel Paul &amp; Musthaq</v>
      </c>
      <c r="I140" s="21" t="str">
        <f>IF('Badminton MD'!B32="","Sahil M I &amp; Gautham",'Badminton MD'!B32)</f>
        <v>Sahil M I &amp; Gautham</v>
      </c>
    </row>
    <row r="141" ht="15.75" customHeight="1">
      <c r="A141" s="8" t="s">
        <v>156</v>
      </c>
      <c r="B141" s="18" t="s">
        <v>439</v>
      </c>
      <c r="C141" s="8" t="s">
        <v>440</v>
      </c>
      <c r="D141" s="19" t="s">
        <v>405</v>
      </c>
      <c r="E141" s="19" t="s">
        <v>195</v>
      </c>
      <c r="F141" s="8" t="s">
        <v>50</v>
      </c>
      <c r="G141" s="20" t="s">
        <v>442</v>
      </c>
      <c r="H141" s="21" t="str">
        <f>IF('Badminton WS'!B7="","Ameesha T",'Badminton WS'!B7)</f>
        <v>Ameesha T</v>
      </c>
      <c r="I141" s="21" t="str">
        <f>IF('Badminton WS'!B8="","Neha Abdul Majeed",'Badminton WS'!B8)</f>
        <v>Neha Abdul Majeed</v>
      </c>
    </row>
    <row r="142" ht="15.75" customHeight="1">
      <c r="A142" s="8" t="s">
        <v>156</v>
      </c>
      <c r="B142" s="18" t="s">
        <v>439</v>
      </c>
      <c r="C142" s="8" t="s">
        <v>440</v>
      </c>
      <c r="D142" s="19" t="s">
        <v>407</v>
      </c>
      <c r="E142" s="19" t="s">
        <v>203</v>
      </c>
      <c r="F142" s="8" t="s">
        <v>50</v>
      </c>
      <c r="G142" s="20" t="s">
        <v>445</v>
      </c>
      <c r="H142" s="21" t="str">
        <f>IF('Badminton WD'!B31="","Josna Mathew &amp; Athira Jayaprasad",'Badminton WD'!B31)</f>
        <v>Josna Mathew &amp; Athira Jayaprasad</v>
      </c>
      <c r="I142" s="21" t="str">
        <f>IF('Badminton WD'!B32="","Akshaya &amp; Athira",'Badminton WD'!B32)</f>
        <v>Akshaya &amp; Athira</v>
      </c>
    </row>
    <row r="143" ht="15.75" customHeight="1">
      <c r="A143" s="8" t="s">
        <v>156</v>
      </c>
      <c r="B143" s="18" t="s">
        <v>448</v>
      </c>
      <c r="C143" s="8" t="s">
        <v>449</v>
      </c>
      <c r="D143" s="19" t="s">
        <v>405</v>
      </c>
      <c r="E143" s="19" t="s">
        <v>195</v>
      </c>
      <c r="F143" s="8" t="s">
        <v>264</v>
      </c>
      <c r="G143" s="20" t="s">
        <v>450</v>
      </c>
      <c r="H143" s="21" t="str">
        <f>IF('Badminton WS'!F17="","Gayathri",'Badminton WS'!F17)</f>
        <v>Gayathri</v>
      </c>
      <c r="I143" s="21" t="str">
        <f>IF('Badminton WS'!F18="","Winner BWS-R1-02",'Badminton WS'!F18)</f>
        <v>Winner BWS-R1-02</v>
      </c>
    </row>
    <row r="144" ht="15.75" customHeight="1">
      <c r="A144" s="8" t="s">
        <v>156</v>
      </c>
      <c r="B144" s="18" t="s">
        <v>448</v>
      </c>
      <c r="C144" s="8" t="s">
        <v>449</v>
      </c>
      <c r="D144" s="19" t="s">
        <v>407</v>
      </c>
      <c r="E144" s="19" t="s">
        <v>203</v>
      </c>
      <c r="F144" s="8" t="s">
        <v>50</v>
      </c>
      <c r="G144" s="20" t="s">
        <v>452</v>
      </c>
      <c r="H144" s="21" t="str">
        <f>IF('Badminton WD'!B23="","Anjaly C Prakash &amp; Anan Nasreen",'Badminton WD'!B23)</f>
        <v>Anjaly C Prakash &amp; Anan Nasreen</v>
      </c>
      <c r="I144" s="21" t="str">
        <f>IF('Badminton WD'!B24="","Shinu &amp; Bilsy",'Badminton WD'!B24)</f>
        <v>Shinu &amp; Bilsy</v>
      </c>
    </row>
    <row r="145" ht="15.75" customHeight="1">
      <c r="A145" s="8" t="s">
        <v>156</v>
      </c>
      <c r="B145" s="18" t="s">
        <v>454</v>
      </c>
      <c r="C145" s="8" t="s">
        <v>456</v>
      </c>
      <c r="D145" s="19" t="s">
        <v>405</v>
      </c>
      <c r="E145" s="19" t="s">
        <v>154</v>
      </c>
      <c r="F145" s="8" t="s">
        <v>50</v>
      </c>
      <c r="G145" s="20" t="s">
        <v>457</v>
      </c>
      <c r="H145" s="21" t="str">
        <f>IF('Badminton MS'!B31="","Gokul K R",'Badminton MS'!B31)</f>
        <v>Gokul K R</v>
      </c>
      <c r="I145" s="21" t="str">
        <f>IF('Badminton MS'!B32="","Musthaq",'Badminton MS'!B32)</f>
        <v>Musthaq</v>
      </c>
    </row>
    <row r="146" ht="15.75" customHeight="1">
      <c r="A146" s="8" t="s">
        <v>156</v>
      </c>
      <c r="B146" s="18" t="s">
        <v>454</v>
      </c>
      <c r="C146" s="8" t="s">
        <v>456</v>
      </c>
      <c r="D146" s="19" t="s">
        <v>407</v>
      </c>
      <c r="E146" s="19" t="s">
        <v>203</v>
      </c>
      <c r="F146" s="8" t="s">
        <v>264</v>
      </c>
      <c r="G146" s="20" t="s">
        <v>460</v>
      </c>
      <c r="H146" s="21" t="str">
        <f>IF('Badminton WD'!F33="","Riya Fathima &amp; Ameesha T",'Badminton WD'!F33)</f>
        <v>Riya Fathima &amp; Ameesha T</v>
      </c>
      <c r="I146" s="21" t="str">
        <f>IF('Badminton WD'!F34="","Winner BWD-R1-04",'Badminton WD'!F34)</f>
        <v>Winner BWD-R1-04</v>
      </c>
    </row>
    <row r="147" ht="15.75" customHeight="1">
      <c r="A147" s="8" t="s">
        <v>156</v>
      </c>
      <c r="B147" s="18" t="s">
        <v>463</v>
      </c>
      <c r="C147" s="8" t="s">
        <v>464</v>
      </c>
      <c r="D147" s="19" t="s">
        <v>405</v>
      </c>
      <c r="E147" s="19" t="s">
        <v>203</v>
      </c>
      <c r="F147" s="8" t="s">
        <v>264</v>
      </c>
      <c r="G147" s="20" t="s">
        <v>465</v>
      </c>
      <c r="H147" s="21" t="str">
        <f>IF('Badminton WD'!F25="","Aparna &amp; Gayathri",'Badminton WD'!F25)</f>
        <v>Aparna &amp; Gayathri</v>
      </c>
      <c r="I147" s="21" t="str">
        <f>IF('Badminton WD'!F26="","Winner BWD-R1-03",'Badminton WD'!F26)</f>
        <v>Winner BWD-R1-03</v>
      </c>
    </row>
    <row r="148" ht="15.75" customHeight="1">
      <c r="A148" s="8" t="s">
        <v>156</v>
      </c>
      <c r="B148" s="18" t="s">
        <v>463</v>
      </c>
      <c r="C148" s="8" t="s">
        <v>464</v>
      </c>
      <c r="D148" s="19" t="s">
        <v>407</v>
      </c>
      <c r="E148" s="19" t="s">
        <v>203</v>
      </c>
      <c r="F148" s="8" t="s">
        <v>50</v>
      </c>
      <c r="G148" s="20" t="s">
        <v>466</v>
      </c>
      <c r="H148" s="21" t="str">
        <f>IF('Badminton WD'!B7="","Neha Abdul Majeed &amp; Nandhana Rayaroth",'Badminton WD'!B7)</f>
        <v>Neha Abdul Majeed &amp; Nandhana Rayaroth</v>
      </c>
      <c r="I148" s="21" t="str">
        <f>IF('Badminton WD'!B8="","Manjusha &amp; AnnMary",'Badminton WD'!B8)</f>
        <v>Manjusha &amp; AnnMary</v>
      </c>
    </row>
    <row r="149" ht="15.75" customHeight="1">
      <c r="A149" s="8" t="s">
        <v>156</v>
      </c>
      <c r="B149" s="18" t="s">
        <v>467</v>
      </c>
      <c r="C149" s="8" t="s">
        <v>468</v>
      </c>
      <c r="D149" s="19" t="s">
        <v>405</v>
      </c>
      <c r="E149" s="19" t="s">
        <v>195</v>
      </c>
      <c r="F149" s="8" t="s">
        <v>50</v>
      </c>
      <c r="G149" s="20" t="s">
        <v>469</v>
      </c>
      <c r="H149" s="21" t="str">
        <f>IF('Badminton WS'!B31="","Tressy",'Badminton WS'!B31)</f>
        <v>Tressy</v>
      </c>
      <c r="I149" s="21" t="str">
        <f>IF('Badminton WS'!B32="","Sradha Santhosh",'Badminton WS'!B32)</f>
        <v>Sradha Santhosh</v>
      </c>
    </row>
    <row r="150" ht="15.75" customHeight="1">
      <c r="A150" s="8" t="s">
        <v>156</v>
      </c>
      <c r="B150" s="18" t="s">
        <v>467</v>
      </c>
      <c r="C150" s="8" t="s">
        <v>468</v>
      </c>
      <c r="D150" s="19" t="s">
        <v>407</v>
      </c>
      <c r="E150" s="19" t="s">
        <v>200</v>
      </c>
      <c r="F150" s="8" t="s">
        <v>264</v>
      </c>
      <c r="G150" s="20" t="s">
        <v>473</v>
      </c>
      <c r="H150" s="21" t="str">
        <f>IF('Badminton MD'!F25="","Abhijith K V &amp; Akshay A",'Badminton MD'!F25)</f>
        <v>Abhijith K V &amp; Akshay A</v>
      </c>
      <c r="I150" s="21" t="str">
        <f>IF('Badminton MD'!F26="","Winner BMD-R1-03",'Badminton MD'!F26)</f>
        <v>Winner BMD-R1-03</v>
      </c>
    </row>
    <row r="151" ht="15.75" customHeight="1">
      <c r="A151" s="8" t="s">
        <v>156</v>
      </c>
      <c r="B151" s="18" t="s">
        <v>475</v>
      </c>
      <c r="C151" s="8" t="s">
        <v>476</v>
      </c>
      <c r="D151" s="19" t="s">
        <v>405</v>
      </c>
      <c r="E151" s="19" t="s">
        <v>203</v>
      </c>
      <c r="F151" s="8" t="s">
        <v>264</v>
      </c>
      <c r="G151" s="20" t="s">
        <v>478</v>
      </c>
      <c r="H151" s="21" t="str">
        <f>IF('Badminton WD'!F9="","Merrin &amp; Ashna",'Badminton WD'!F9)</f>
        <v>Merrin &amp; Ashna</v>
      </c>
      <c r="I151" s="21" t="str">
        <f>IF('Badminton WD'!F10="","Winner BWD-R1-01",'Badminton WD'!F10)</f>
        <v>Winner BWD-R1-01</v>
      </c>
    </row>
    <row r="152" ht="15.75" customHeight="1">
      <c r="A152" s="8" t="s">
        <v>156</v>
      </c>
      <c r="B152" s="18" t="s">
        <v>475</v>
      </c>
      <c r="C152" s="8" t="s">
        <v>476</v>
      </c>
      <c r="D152" s="19" t="s">
        <v>407</v>
      </c>
      <c r="E152" s="19" t="s">
        <v>200</v>
      </c>
      <c r="F152" s="8" t="s">
        <v>50</v>
      </c>
      <c r="G152" s="20" t="s">
        <v>481</v>
      </c>
      <c r="H152" s="21" t="str">
        <f>IF('Badminton MD'!B7="","Thomas &amp; Boban Paul",'Badminton MD'!B7)</f>
        <v>Thomas &amp; Boban Paul</v>
      </c>
      <c r="I152" s="21" t="str">
        <f>IF('Badminton MD'!B8="","Nidheesh P V &amp; Gowtham A P",'Badminton MD'!B8)</f>
        <v>Nidheesh P V &amp; Gowtham A P</v>
      </c>
    </row>
    <row r="153" ht="15.75" customHeight="1">
      <c r="A153" s="68" t="s">
        <v>484</v>
      </c>
      <c r="B153" s="16"/>
      <c r="C153" s="16"/>
      <c r="D153" s="16"/>
      <c r="E153" s="16"/>
      <c r="F153" s="16"/>
      <c r="G153" s="16"/>
      <c r="H153" s="16"/>
      <c r="I153" s="17"/>
    </row>
    <row r="154" ht="15.75" customHeight="1">
      <c r="A154" s="8" t="s">
        <v>156</v>
      </c>
      <c r="B154" s="18" t="s">
        <v>485</v>
      </c>
      <c r="C154" s="8" t="s">
        <v>486</v>
      </c>
      <c r="D154" s="19" t="s">
        <v>405</v>
      </c>
      <c r="E154" s="19" t="s">
        <v>200</v>
      </c>
      <c r="F154" s="8" t="s">
        <v>264</v>
      </c>
      <c r="G154" s="20" t="s">
        <v>487</v>
      </c>
      <c r="H154" s="21" t="str">
        <f>IF('Badminton MD'!F9="","Joyel &amp; Shamil",'Badminton MD'!F9)</f>
        <v>Joyel &amp; Shamil</v>
      </c>
      <c r="I154" s="21" t="str">
        <f>IF('Badminton MD'!F10="","Winner BMD-R1-01",'Badminton MD'!F10)</f>
        <v>Winner BMD-R1-01</v>
      </c>
    </row>
    <row r="155" ht="15.75" customHeight="1">
      <c r="A155" s="8" t="s">
        <v>156</v>
      </c>
      <c r="B155" s="18" t="s">
        <v>485</v>
      </c>
      <c r="C155" s="8" t="s">
        <v>486</v>
      </c>
      <c r="D155" s="19" t="s">
        <v>407</v>
      </c>
      <c r="E155" s="19" t="s">
        <v>195</v>
      </c>
      <c r="F155" s="8" t="s">
        <v>264</v>
      </c>
      <c r="G155" s="20" t="s">
        <v>488</v>
      </c>
      <c r="H155" s="21" t="str">
        <f>IF('Badminton WS'!F33="","AnnMary",'Badminton WS'!F33)</f>
        <v>AnnMary</v>
      </c>
      <c r="I155" s="21" t="str">
        <f>IF('Badminton WS'!F34="","Winner BWS-R1-04",'Badminton WS'!F34)</f>
        <v>Winner BWS-R1-04</v>
      </c>
    </row>
    <row r="156" ht="15.75" customHeight="1">
      <c r="A156" s="8" t="s">
        <v>156</v>
      </c>
      <c r="B156" s="18" t="s">
        <v>489</v>
      </c>
      <c r="C156" s="8" t="s">
        <v>490</v>
      </c>
      <c r="D156" s="19" t="s">
        <v>405</v>
      </c>
      <c r="E156" s="19" t="s">
        <v>195</v>
      </c>
      <c r="F156" s="8" t="s">
        <v>50</v>
      </c>
      <c r="G156" s="20" t="s">
        <v>491</v>
      </c>
      <c r="H156" s="21" t="str">
        <f>IF('Badminton WS'!B23="","Merrin",'Badminton WS'!B23)</f>
        <v>Merrin</v>
      </c>
      <c r="I156" s="21" t="str">
        <f>IF('Badminton WS'!B24="","Anjaly C Prakash",'Badminton WS'!B24)</f>
        <v>Anjaly C Prakash</v>
      </c>
    </row>
    <row r="157" ht="15.75" customHeight="1">
      <c r="A157" s="8" t="s">
        <v>156</v>
      </c>
      <c r="B157" s="18" t="s">
        <v>489</v>
      </c>
      <c r="C157" s="8" t="s">
        <v>490</v>
      </c>
      <c r="D157" s="19" t="s">
        <v>407</v>
      </c>
      <c r="E157" s="19" t="s">
        <v>200</v>
      </c>
      <c r="F157" s="8" t="s">
        <v>264</v>
      </c>
      <c r="G157" s="20" t="s">
        <v>493</v>
      </c>
      <c r="H157" s="21" t="str">
        <f>IF('Badminton MD'!F33="","Amit &amp; Rishikesh",'Badminton MD'!F33)</f>
        <v>Amit &amp; Rishikesh</v>
      </c>
      <c r="I157" s="21" t="str">
        <f>IF('Badminton MD'!F34="","Winner BMD-R1-04",'Badminton MD'!F34)</f>
        <v>Winner BMD-R1-04</v>
      </c>
    </row>
    <row r="158" ht="15.75" customHeight="1">
      <c r="A158" s="8" t="s">
        <v>156</v>
      </c>
      <c r="B158" s="18" t="s">
        <v>497</v>
      </c>
      <c r="C158" s="8" t="s">
        <v>498</v>
      </c>
      <c r="D158" s="19" t="s">
        <v>405</v>
      </c>
      <c r="E158" s="19" t="s">
        <v>203</v>
      </c>
      <c r="F158" s="8" t="s">
        <v>264</v>
      </c>
      <c r="G158" s="20" t="s">
        <v>499</v>
      </c>
      <c r="H158" s="21" t="str">
        <f>IF('Badminton WD'!F17="","Anima V Shaji &amp; Tressy",'Badminton WD'!F17)</f>
        <v>Anima V Shaji &amp; Tressy</v>
      </c>
      <c r="I158" s="21" t="str">
        <f>IF('Badminton WD'!F18="","Winner BWD-R1-02",'Badminton WD'!F18)</f>
        <v>Winner BWD-R1-02</v>
      </c>
    </row>
    <row r="159" ht="15.75" customHeight="1">
      <c r="A159" s="8" t="s">
        <v>156</v>
      </c>
      <c r="B159" s="18" t="s">
        <v>497</v>
      </c>
      <c r="C159" s="8" t="s">
        <v>498</v>
      </c>
      <c r="D159" s="19" t="s">
        <v>407</v>
      </c>
      <c r="E159" s="19" t="s">
        <v>200</v>
      </c>
      <c r="F159" s="8" t="s">
        <v>264</v>
      </c>
      <c r="G159" s="20" t="s">
        <v>501</v>
      </c>
      <c r="H159" s="21" t="str">
        <f>IF('Badminton MD'!F17="","Rithik P Vijay &amp; Jerin Wilson",'Badminton MD'!F17)</f>
        <v>Rithik P Vijay &amp; Jerin Wilson</v>
      </c>
      <c r="I159" s="21" t="str">
        <f>IF('Badminton MD'!F18="","Winner BMD-R1-02",'Badminton MD'!F18)</f>
        <v>Winner BMD-R1-02</v>
      </c>
    </row>
    <row r="160" ht="15.75" customHeight="1">
      <c r="A160" s="8" t="s">
        <v>156</v>
      </c>
      <c r="B160" s="18" t="s">
        <v>504</v>
      </c>
      <c r="C160" s="8" t="s">
        <v>505</v>
      </c>
      <c r="D160" s="19" t="s">
        <v>405</v>
      </c>
      <c r="E160" s="19" t="s">
        <v>154</v>
      </c>
      <c r="F160" s="8" t="s">
        <v>264</v>
      </c>
      <c r="G160" s="20" t="s">
        <v>542</v>
      </c>
      <c r="H160" s="21" t="str">
        <f>IF('Badminton MS'!F17="","Kevin Raj",'Badminton MS'!F17)</f>
        <v>Kevin Raj</v>
      </c>
      <c r="I160" s="21" t="str">
        <f>IF('Badminton MS'!F18="","Winner BMS-R1-02",'Badminton MS'!F18)</f>
        <v>Winner BMS-R1-02</v>
      </c>
    </row>
    <row r="161" ht="15.75" customHeight="1">
      <c r="A161" s="8" t="s">
        <v>156</v>
      </c>
      <c r="B161" s="18" t="s">
        <v>504</v>
      </c>
      <c r="C161" s="8" t="s">
        <v>505</v>
      </c>
      <c r="D161" s="19" t="s">
        <v>407</v>
      </c>
      <c r="E161" s="19" t="s">
        <v>154</v>
      </c>
      <c r="F161" s="8" t="s">
        <v>264</v>
      </c>
      <c r="G161" s="20" t="s">
        <v>543</v>
      </c>
      <c r="H161" s="21" t="str">
        <f>IF('Badminton MS'!F9="","Joel Paul",'Badminton MS'!F9)</f>
        <v>Joel Paul</v>
      </c>
      <c r="I161" s="21" t="str">
        <f>IF('Badminton MS'!F10="","Winner BMS-R1-01",'Badminton MS'!F10)</f>
        <v>Winner BMS-R1-01</v>
      </c>
    </row>
    <row r="162" ht="15.75" customHeight="1">
      <c r="A162" s="8" t="s">
        <v>156</v>
      </c>
      <c r="B162" s="18" t="s">
        <v>544</v>
      </c>
      <c r="C162" s="8" t="s">
        <v>545</v>
      </c>
      <c r="D162" s="19" t="s">
        <v>405</v>
      </c>
      <c r="E162" s="19" t="s">
        <v>154</v>
      </c>
      <c r="F162" s="8" t="s">
        <v>264</v>
      </c>
      <c r="G162" s="20" t="s">
        <v>546</v>
      </c>
      <c r="H162" s="21" t="str">
        <f>IF('Badminton MS'!F25="","Akshay A",'Badminton MS'!F25)</f>
        <v>Akshay A</v>
      </c>
      <c r="I162" s="21" t="str">
        <f>IF('Badminton MS'!F26="","Winner BMS-R1-03",'Badminton MS'!F26)</f>
        <v>Winner BMS-R1-03</v>
      </c>
    </row>
    <row r="163" ht="15.75" customHeight="1">
      <c r="A163" s="8" t="s">
        <v>156</v>
      </c>
      <c r="B163" s="18" t="s">
        <v>544</v>
      </c>
      <c r="C163" s="8" t="s">
        <v>545</v>
      </c>
      <c r="D163" s="19" t="s">
        <v>407</v>
      </c>
      <c r="E163" s="19" t="s">
        <v>154</v>
      </c>
      <c r="F163" s="8" t="s">
        <v>264</v>
      </c>
      <c r="G163" s="20" t="s">
        <v>547</v>
      </c>
      <c r="H163" s="21" t="str">
        <f>IF('Badminton MS'!F33="","Adwaith Narayanan",'Badminton MS'!F33)</f>
        <v>Adwaith Narayanan</v>
      </c>
      <c r="I163" s="21" t="str">
        <f>IF('Badminton MS'!F34="","Winner BMS-R1-04",'Badminton MS'!F34)</f>
        <v>Winner BMS-R1-04</v>
      </c>
    </row>
    <row r="164" ht="15.75" customHeight="1">
      <c r="A164" s="8" t="s">
        <v>156</v>
      </c>
      <c r="B164" s="18" t="s">
        <v>548</v>
      </c>
      <c r="C164" s="8" t="s">
        <v>549</v>
      </c>
      <c r="D164" s="19" t="s">
        <v>405</v>
      </c>
      <c r="E164" s="19" t="s">
        <v>195</v>
      </c>
      <c r="F164" s="8" t="s">
        <v>264</v>
      </c>
      <c r="G164" s="20" t="s">
        <v>550</v>
      </c>
      <c r="H164" s="21" t="str">
        <f>IF('Badminton WS'!F9="","Anima V Shaji",'Badminton WS'!F9)</f>
        <v>Anima V Shaji</v>
      </c>
      <c r="I164" s="21" t="str">
        <f>IF('Badminton WS'!F10="","Winner BWS-R1-01",'Badminton WS'!F10)</f>
        <v>Winner BWS-R1-01</v>
      </c>
    </row>
    <row r="165" ht="15.75" customHeight="1">
      <c r="A165" s="8" t="s">
        <v>156</v>
      </c>
      <c r="B165" s="18" t="s">
        <v>548</v>
      </c>
      <c r="C165" s="8" t="s">
        <v>549</v>
      </c>
      <c r="D165" s="19" t="s">
        <v>407</v>
      </c>
      <c r="E165" s="19" t="s">
        <v>195</v>
      </c>
      <c r="F165" s="8" t="s">
        <v>264</v>
      </c>
      <c r="G165" s="20" t="s">
        <v>551</v>
      </c>
      <c r="H165" s="21" t="str">
        <f>IF('Badminton WS'!F25="","Nivya Mathew",'Badminton WS'!F25)</f>
        <v>Nivya Mathew</v>
      </c>
      <c r="I165" s="21" t="str">
        <f>IF('Badminton WS'!F26="","Winner BWS-R1-03",'Badminton WS'!F26)</f>
        <v>Winner BWS-R1-03</v>
      </c>
    </row>
    <row r="166" ht="15.75" customHeight="1">
      <c r="A166" s="8" t="s">
        <v>156</v>
      </c>
      <c r="B166" s="18" t="s">
        <v>553</v>
      </c>
      <c r="C166" s="8" t="s">
        <v>554</v>
      </c>
      <c r="D166" s="19" t="s">
        <v>405</v>
      </c>
      <c r="E166" s="19" t="s">
        <v>200</v>
      </c>
      <c r="F166" s="8" t="s">
        <v>303</v>
      </c>
      <c r="G166" s="20" t="s">
        <v>555</v>
      </c>
      <c r="H166" s="21" t="str">
        <f>IF('Badminton MD'!J29="","Winner BMD-R2-03",'Badminton MD'!J29)</f>
        <v>Winner BMD-R2-03</v>
      </c>
      <c r="I166" s="21" t="str">
        <f>IF('Badminton MD'!J30="","Winner BMD-R2-04",'Badminton MD'!J30)</f>
        <v>Winner BMD-R2-04</v>
      </c>
    </row>
    <row r="167" ht="15.75" customHeight="1">
      <c r="A167" s="8" t="s">
        <v>156</v>
      </c>
      <c r="B167" s="18" t="s">
        <v>553</v>
      </c>
      <c r="C167" s="8" t="s">
        <v>554</v>
      </c>
      <c r="D167" s="19" t="s">
        <v>407</v>
      </c>
      <c r="E167" s="19" t="s">
        <v>200</v>
      </c>
      <c r="F167" s="8" t="s">
        <v>303</v>
      </c>
      <c r="G167" s="20" t="s">
        <v>561</v>
      </c>
      <c r="H167" s="21" t="str">
        <f>IF('Badminton MD'!J13="","Winner BMD-R2-01",'Badminton MD'!J13)</f>
        <v>Winner BMD-R2-01</v>
      </c>
      <c r="I167" s="21" t="str">
        <f>IF('Badminton MD'!J14="","Winner BMD-R2-02",'Badminton MD'!J14)</f>
        <v>Winner BMD-R2-02</v>
      </c>
    </row>
    <row r="168" ht="15.75" customHeight="1">
      <c r="A168" s="8" t="s">
        <v>156</v>
      </c>
      <c r="B168" s="18" t="s">
        <v>562</v>
      </c>
      <c r="C168" s="8" t="s">
        <v>563</v>
      </c>
      <c r="D168" s="19" t="s">
        <v>405</v>
      </c>
      <c r="E168" s="19" t="s">
        <v>203</v>
      </c>
      <c r="F168" s="8" t="s">
        <v>303</v>
      </c>
      <c r="G168" s="20" t="s">
        <v>564</v>
      </c>
      <c r="H168" s="21" t="str">
        <f>IF('Badminton WD'!J29="","Winner BWD-R2-03",'Badminton WD'!J29)</f>
        <v>Winner BWD-R2-03</v>
      </c>
      <c r="I168" s="21" t="str">
        <f>IF('Badminton WD'!J30="","Winner BWD-R2-04",'Badminton WD'!J30)</f>
        <v>Winner BWD-R2-04</v>
      </c>
    </row>
    <row r="169" ht="15.75" customHeight="1">
      <c r="A169" s="8" t="s">
        <v>156</v>
      </c>
      <c r="B169" s="18" t="s">
        <v>562</v>
      </c>
      <c r="C169" s="8" t="s">
        <v>563</v>
      </c>
      <c r="D169" s="19" t="s">
        <v>407</v>
      </c>
      <c r="E169" s="19" t="s">
        <v>203</v>
      </c>
      <c r="F169" s="8" t="s">
        <v>303</v>
      </c>
      <c r="G169" s="20" t="s">
        <v>565</v>
      </c>
      <c r="H169" s="21" t="str">
        <f>IF('Badminton WD'!J13="","Winner BWD-R2-01",'Badminton WD'!J13)</f>
        <v>Winner BWD-R2-01</v>
      </c>
      <c r="I169" s="21" t="str">
        <f>IF('Badminton WD'!J14="","Winner BWD-R2-02",'Badminton WD'!J14)</f>
        <v>Winner BWD-R2-02</v>
      </c>
    </row>
    <row r="170" ht="15.75" customHeight="1">
      <c r="A170" s="8" t="s">
        <v>156</v>
      </c>
      <c r="B170" s="18" t="s">
        <v>566</v>
      </c>
      <c r="C170" s="8" t="s">
        <v>567</v>
      </c>
      <c r="D170" s="19" t="s">
        <v>405</v>
      </c>
      <c r="E170" s="19" t="s">
        <v>154</v>
      </c>
      <c r="F170" s="8" t="s">
        <v>303</v>
      </c>
      <c r="G170" s="20" t="s">
        <v>568</v>
      </c>
      <c r="H170" s="21" t="str">
        <f>IF('Badminton MS'!J29="","Winner BMS-R2-03",'Badminton MS'!J29)</f>
        <v>Winner BMS-R2-03</v>
      </c>
      <c r="I170" s="21" t="str">
        <f>IF('Badminton MS'!J30="","Winner BMS-R2-04",'Badminton MS'!J30)</f>
        <v>Winner BMS-R2-04</v>
      </c>
    </row>
    <row r="171" ht="15.75" customHeight="1">
      <c r="A171" s="8" t="s">
        <v>156</v>
      </c>
      <c r="B171" s="18" t="s">
        <v>566</v>
      </c>
      <c r="C171" s="8" t="s">
        <v>567</v>
      </c>
      <c r="D171" s="19" t="s">
        <v>407</v>
      </c>
      <c r="E171" s="19" t="s">
        <v>154</v>
      </c>
      <c r="F171" s="8" t="s">
        <v>303</v>
      </c>
      <c r="G171" s="20" t="s">
        <v>569</v>
      </c>
      <c r="H171" s="21" t="str">
        <f>IF('Badminton MS'!J13="","Winner BMS-R2-01",'Badminton MS'!J13)</f>
        <v>Winner BMS-R2-01</v>
      </c>
      <c r="I171" s="21" t="str">
        <f>IF('Badminton MS'!J14="","Winner BMS-R2-02",'Badminton MS'!J14)</f>
        <v>Winner BMS-R2-02</v>
      </c>
    </row>
    <row r="172" ht="15.75" customHeight="1">
      <c r="A172" s="8" t="s">
        <v>156</v>
      </c>
      <c r="B172" s="18" t="s">
        <v>570</v>
      </c>
      <c r="C172" s="8" t="s">
        <v>571</v>
      </c>
      <c r="D172" s="19" t="s">
        <v>405</v>
      </c>
      <c r="E172" s="19" t="s">
        <v>195</v>
      </c>
      <c r="F172" s="8" t="s">
        <v>303</v>
      </c>
      <c r="G172" s="20" t="s">
        <v>572</v>
      </c>
      <c r="H172" s="21" t="str">
        <f>IF('Badminton WS'!J29="","Winner BWS-R2-03",'Badminton WS'!J29)</f>
        <v>Winner BWS-R2-03</v>
      </c>
      <c r="I172" s="21" t="str">
        <f>IF('Badminton WS'!J30="","Winner BWS-R2-04",'Badminton WS'!J30)</f>
        <v>Winner BWS-R2-04</v>
      </c>
    </row>
    <row r="173" ht="15.75" customHeight="1">
      <c r="A173" s="8" t="s">
        <v>156</v>
      </c>
      <c r="B173" s="18" t="s">
        <v>570</v>
      </c>
      <c r="C173" s="8" t="s">
        <v>571</v>
      </c>
      <c r="D173" s="19" t="s">
        <v>407</v>
      </c>
      <c r="E173" s="19" t="s">
        <v>195</v>
      </c>
      <c r="F173" s="8" t="s">
        <v>303</v>
      </c>
      <c r="G173" s="20" t="s">
        <v>573</v>
      </c>
      <c r="H173" s="21" t="str">
        <f>IF('Badminton WS'!J13="","Winner BWS-R2-01",'Badminton WS'!J13)</f>
        <v>Winner BWS-R2-01</v>
      </c>
      <c r="I173" s="21" t="str">
        <f>IF('Badminton WS'!J14="","Winner BWS-R2-02",'Badminton WS'!J14)</f>
        <v>Winner BWS-R2-02</v>
      </c>
    </row>
    <row r="174" ht="15.75" customHeight="1">
      <c r="A174" s="8" t="s">
        <v>156</v>
      </c>
      <c r="B174" s="18" t="s">
        <v>574</v>
      </c>
      <c r="C174" s="8" t="s">
        <v>575</v>
      </c>
      <c r="D174" s="19" t="s">
        <v>405</v>
      </c>
      <c r="E174" s="19" t="s">
        <v>200</v>
      </c>
      <c r="F174" s="8" t="s">
        <v>11</v>
      </c>
      <c r="G174" s="20" t="s">
        <v>576</v>
      </c>
      <c r="H174" s="21" t="str">
        <f>IF('Badminton MD'!N26="","Loser BMD-R3-01",'Badminton MD'!N26)</f>
        <v>Loser BMD-R3-01</v>
      </c>
      <c r="I174" s="21" t="str">
        <f>IF('Badminton MD'!N27="","Loser BMD-R3-02",'Badminton MD'!N27)</f>
        <v>Loser BMD-R3-02</v>
      </c>
    </row>
    <row r="175" ht="15.75" customHeight="1">
      <c r="A175" s="8" t="s">
        <v>156</v>
      </c>
      <c r="B175" s="18" t="s">
        <v>577</v>
      </c>
      <c r="C175" s="8" t="s">
        <v>578</v>
      </c>
      <c r="D175" s="19" t="s">
        <v>407</v>
      </c>
      <c r="E175" s="19" t="s">
        <v>195</v>
      </c>
      <c r="F175" s="8" t="s">
        <v>11</v>
      </c>
      <c r="G175" s="20" t="s">
        <v>579</v>
      </c>
      <c r="H175" s="21" t="str">
        <f>IF('Badminton WS'!N26="","Loser BWS-R3-01",'Badminton WS'!N26)</f>
        <v>Loser BWS-R3-01</v>
      </c>
      <c r="I175" s="21" t="str">
        <f>IF('Badminton WS'!N27="","Loser BWS-R3-02",'Badminton WS'!N27)</f>
        <v>Loser BWS-R3-02</v>
      </c>
    </row>
    <row r="176" ht="15.75" customHeight="1">
      <c r="A176" s="8" t="s">
        <v>156</v>
      </c>
      <c r="B176" s="18" t="s">
        <v>580</v>
      </c>
      <c r="C176" s="8" t="s">
        <v>581</v>
      </c>
      <c r="D176" s="19" t="s">
        <v>405</v>
      </c>
      <c r="E176" s="19" t="s">
        <v>154</v>
      </c>
      <c r="F176" s="8" t="s">
        <v>11</v>
      </c>
      <c r="G176" s="20" t="s">
        <v>582</v>
      </c>
      <c r="H176" s="21" t="str">
        <f>IF('Badminton MS'!N26="","Loser BMS-R3-01",'Badminton MS'!N26)</f>
        <v>Loser BMS-R3-01</v>
      </c>
      <c r="I176" s="21" t="str">
        <f>IF('Badminton MS'!N27="","Loser BMS-R3-02",'Badminton MS'!N27)</f>
        <v>Loser BMS-R3-02</v>
      </c>
    </row>
    <row r="177" ht="15.75" customHeight="1">
      <c r="A177" s="8" t="s">
        <v>156</v>
      </c>
      <c r="B177" s="18" t="s">
        <v>583</v>
      </c>
      <c r="C177" s="8" t="s">
        <v>584</v>
      </c>
      <c r="D177" s="19" t="s">
        <v>407</v>
      </c>
      <c r="E177" s="19" t="s">
        <v>203</v>
      </c>
      <c r="F177" s="8" t="s">
        <v>11</v>
      </c>
      <c r="G177" s="20" t="s">
        <v>585</v>
      </c>
      <c r="H177" s="21" t="str">
        <f>IF('Badminton WD'!N26="","Loser BWD-R3-01",'Badminton WD'!N26)</f>
        <v>Loser BWD-R3-01</v>
      </c>
      <c r="I177" s="21" t="str">
        <f>IF('Badminton WD'!N27="","Loser BWD-R3-02",'Badminton WD'!N27)</f>
        <v>Loser BWD-R3-02</v>
      </c>
    </row>
    <row r="178" ht="15.75" customHeight="1">
      <c r="A178" s="8" t="s">
        <v>156</v>
      </c>
      <c r="B178" s="18" t="s">
        <v>586</v>
      </c>
      <c r="C178" s="8" t="s">
        <v>587</v>
      </c>
      <c r="D178" s="19" t="s">
        <v>405</v>
      </c>
      <c r="E178" s="19" t="s">
        <v>154</v>
      </c>
      <c r="F178" s="8" t="s">
        <v>8</v>
      </c>
      <c r="G178" s="20" t="s">
        <v>588</v>
      </c>
      <c r="H178" s="21" t="str">
        <f>IF('Badminton MS'!N21="","Winner BMS-R3-01",'Badminton MS'!N21)</f>
        <v>Winner BMS-R3-01</v>
      </c>
      <c r="I178" s="21" t="str">
        <f>IF('Badminton MS'!N22="","Winner BMS-R3-02",'Badminton MS'!N22)</f>
        <v>Winner BMS-R3-02</v>
      </c>
    </row>
    <row r="179" ht="15.75" customHeight="1">
      <c r="A179" s="8" t="s">
        <v>156</v>
      </c>
      <c r="B179" s="18" t="s">
        <v>589</v>
      </c>
      <c r="C179" s="8" t="s">
        <v>48</v>
      </c>
      <c r="D179" s="19" t="s">
        <v>407</v>
      </c>
      <c r="E179" s="19" t="s">
        <v>203</v>
      </c>
      <c r="F179" s="8" t="s">
        <v>8</v>
      </c>
      <c r="G179" s="20" t="s">
        <v>590</v>
      </c>
      <c r="H179" s="21" t="str">
        <f>IF('Badminton WD'!N21="","Winner BWD-R3-01",'Badminton WD'!N21)</f>
        <v>Winner BWD-R3-01</v>
      </c>
      <c r="I179" s="21" t="str">
        <f>IF('Badminton WD'!N22="","Winner BWD-R3-02",'Badminton WD'!N22)</f>
        <v>Winner BWD-R3-02</v>
      </c>
    </row>
    <row r="180" ht="15.75" customHeight="1">
      <c r="A180" s="8" t="s">
        <v>156</v>
      </c>
      <c r="B180" s="18" t="s">
        <v>160</v>
      </c>
      <c r="C180" s="8" t="s">
        <v>169</v>
      </c>
      <c r="D180" s="19" t="s">
        <v>405</v>
      </c>
      <c r="E180" s="19" t="s">
        <v>200</v>
      </c>
      <c r="F180" s="8" t="s">
        <v>8</v>
      </c>
      <c r="G180" s="20" t="s">
        <v>591</v>
      </c>
      <c r="H180" s="21" t="str">
        <f>IF('Badminton MD'!N21="","Winner BMD-R3-01",'Badminton MD'!N21)</f>
        <v>Winner BMD-R3-01</v>
      </c>
      <c r="I180" s="21" t="str">
        <f>IF('Badminton MD'!N22="","Winner BMD-R3-02",'Badminton MD'!N22)</f>
        <v>Winner BMD-R3-02</v>
      </c>
    </row>
    <row r="181" ht="15.75" customHeight="1">
      <c r="A181" s="8" t="s">
        <v>156</v>
      </c>
      <c r="B181" s="18" t="s">
        <v>350</v>
      </c>
      <c r="C181" s="8" t="s">
        <v>592</v>
      </c>
      <c r="D181" s="19" t="s">
        <v>407</v>
      </c>
      <c r="E181" s="19" t="s">
        <v>195</v>
      </c>
      <c r="F181" s="8" t="s">
        <v>8</v>
      </c>
      <c r="G181" s="20" t="s">
        <v>593</v>
      </c>
      <c r="H181" s="21" t="str">
        <f>IF('Badminton WS'!N21="","Winner BWS-R3-01",'Badminton WS'!N21)</f>
        <v>Winner BWS-R3-01</v>
      </c>
      <c r="I181" s="21" t="str">
        <f>IF('Badminton WS'!N22="","Winner BWS-R3-02",'Badminton WS'!N22)</f>
        <v>Winner BWS-R3-02</v>
      </c>
    </row>
    <row r="182" ht="15.75" customHeight="1">
      <c r="A182" s="15" t="s">
        <v>594</v>
      </c>
      <c r="B182" s="16"/>
      <c r="C182" s="16"/>
      <c r="D182" s="16"/>
      <c r="E182" s="16"/>
      <c r="F182" s="16"/>
      <c r="G182" s="16"/>
      <c r="H182" s="16"/>
      <c r="I182" s="17"/>
    </row>
    <row r="183" ht="15.75" customHeight="1">
      <c r="A183" s="8" t="s">
        <v>14</v>
      </c>
      <c r="B183" s="18" t="s">
        <v>47</v>
      </c>
      <c r="C183" s="8" t="s">
        <v>90</v>
      </c>
      <c r="D183" s="19" t="s">
        <v>12</v>
      </c>
      <c r="E183" s="19" t="s">
        <v>12</v>
      </c>
      <c r="F183" s="8" t="s">
        <v>8</v>
      </c>
      <c r="G183" s="20" t="s">
        <v>595</v>
      </c>
      <c r="H183" s="21" t="str">
        <f>IF(Chess!R37="","Winner CH-R4-01",Chess!R37)</f>
        <v>Sravan</v>
      </c>
      <c r="I183" s="21" t="str">
        <f>IF(Chess!R38="","Winner CH-R4-02",Chess!R38)</f>
        <v>Benison</v>
      </c>
    </row>
    <row r="184" ht="15.75" customHeight="1">
      <c r="A184" s="8" t="s">
        <v>14</v>
      </c>
      <c r="B184" s="18" t="s">
        <v>166</v>
      </c>
      <c r="C184" s="8" t="s">
        <v>596</v>
      </c>
      <c r="D184" s="19" t="s">
        <v>53</v>
      </c>
      <c r="E184" s="19" t="s">
        <v>15</v>
      </c>
      <c r="F184" s="8" t="s">
        <v>8</v>
      </c>
      <c r="G184" s="20" t="s">
        <v>597</v>
      </c>
      <c r="H184" s="21" t="str">
        <f>IF(Carroms!R37="","Winner CR-R4-01",Carroms!R37)</f>
        <v>Winner CR-R4-01</v>
      </c>
      <c r="I184" s="21" t="str">
        <f>IF(Carroms!R38="","Winner CR-R4-02",Carroms!R38)</f>
        <v>Winner CR-R4-02</v>
      </c>
    </row>
    <row r="185" ht="15.75" customHeight="1">
      <c r="A185" s="8" t="s">
        <v>14</v>
      </c>
      <c r="B185" s="18" t="s">
        <v>334</v>
      </c>
      <c r="C185" s="8" t="s">
        <v>311</v>
      </c>
      <c r="D185" s="19" t="s">
        <v>49</v>
      </c>
      <c r="E185" s="19" t="s">
        <v>19</v>
      </c>
      <c r="F185" s="8" t="s">
        <v>8</v>
      </c>
      <c r="G185" s="20" t="s">
        <v>598</v>
      </c>
      <c r="H185" s="21" t="str">
        <f>IF('TT WS'!J13="","Winner TWS-R2-01",'TT WS'!J13)</f>
        <v>Neethu</v>
      </c>
      <c r="I185" s="21" t="str">
        <f>IF('TT WS'!J14="","Winner TWS-R2-02",'TT WS'!J14)</f>
        <v>Aparna</v>
      </c>
    </row>
    <row r="186" ht="15.75" customHeight="1">
      <c r="A186" s="8" t="s">
        <v>14</v>
      </c>
      <c r="B186" s="18" t="s">
        <v>316</v>
      </c>
      <c r="C186" s="8" t="s">
        <v>368</v>
      </c>
      <c r="D186" s="19" t="s">
        <v>49</v>
      </c>
      <c r="E186" s="19" t="s">
        <v>17</v>
      </c>
      <c r="F186" s="8" t="s">
        <v>8</v>
      </c>
      <c r="G186" s="20" t="s">
        <v>599</v>
      </c>
      <c r="H186" s="21" t="str">
        <f>IF('TT MS'!R33="","Winner TMS-R4-01",'TT MS'!R33)</f>
        <v>Rithik P Vijay</v>
      </c>
      <c r="I186" s="21" t="str">
        <f>IF('TT MS'!R34="","Winner TMS-R4-02",'TT MS'!R34)</f>
        <v>Rishikesh</v>
      </c>
    </row>
    <row r="187" ht="15.75" customHeight="1">
      <c r="A187" s="8" t="s">
        <v>14</v>
      </c>
      <c r="B187" s="18" t="s">
        <v>370</v>
      </c>
      <c r="C187" s="8" t="s">
        <v>371</v>
      </c>
      <c r="D187" s="19" t="s">
        <v>49</v>
      </c>
      <c r="E187" s="19" t="s">
        <v>143</v>
      </c>
      <c r="F187" s="8" t="s">
        <v>8</v>
      </c>
      <c r="G187" s="20" t="s">
        <v>600</v>
      </c>
      <c r="H187" s="21" t="str">
        <f>IF('TT WD'!F9="","Winner TWD-R1-01",'TT WD'!F9)</f>
        <v>Sradha Santhosh &amp; Aryamol</v>
      </c>
      <c r="I187" s="21" t="str">
        <f>IF('TT WD'!F10="","Winner TWD-R1-02",'TT WD'!F10)</f>
        <v>Akhila &amp; Ashna</v>
      </c>
    </row>
    <row r="188" ht="15.75" customHeight="1">
      <c r="A188" s="8" t="s">
        <v>14</v>
      </c>
      <c r="B188" s="18" t="s">
        <v>373</v>
      </c>
      <c r="C188" s="8" t="s">
        <v>374</v>
      </c>
      <c r="D188" s="19" t="s">
        <v>49</v>
      </c>
      <c r="E188" s="19" t="s">
        <v>130</v>
      </c>
      <c r="F188" s="8" t="s">
        <v>8</v>
      </c>
      <c r="G188" s="20" t="s">
        <v>601</v>
      </c>
      <c r="H188" s="21" t="str">
        <f>IF('TT MD'!N21="","Winner TMD-R3-01",'TT MD'!N21)</f>
        <v>Rishikesh &amp; Amit</v>
      </c>
      <c r="I188" s="21" t="str">
        <f>IF('TT MD'!N22="","Winner TMD-R3-02",'TT MD'!N22)</f>
        <v>Prajith &amp; Nived</v>
      </c>
    </row>
    <row r="189" ht="15.75" customHeight="1">
      <c r="A189" s="15" t="s">
        <v>602</v>
      </c>
      <c r="B189" s="16"/>
      <c r="C189" s="16"/>
      <c r="D189" s="16"/>
      <c r="E189" s="16"/>
      <c r="F189" s="16"/>
      <c r="G189" s="16"/>
      <c r="H189" s="16"/>
      <c r="I189" s="17"/>
    </row>
    <row r="190" ht="15.75" customHeight="1">
      <c r="A190" s="8" t="s">
        <v>603</v>
      </c>
      <c r="B190" s="18" t="s">
        <v>172</v>
      </c>
      <c r="C190" s="8"/>
      <c r="D190" s="19" t="s">
        <v>207</v>
      </c>
      <c r="E190" s="19" t="s">
        <v>207</v>
      </c>
      <c r="F190" s="8" t="s">
        <v>303</v>
      </c>
      <c r="G190" s="20" t="s">
        <v>604</v>
      </c>
      <c r="H190" s="21" t="str">
        <f>IF(Cricket!O9="","Pool A winner",Cricket!O9)</f>
        <v>Jeem Boom Baa</v>
      </c>
      <c r="I190" s="21" t="str">
        <f>IF(Cricket!O10="","Pool B runner-up",Cricket!O10)</f>
        <v>Aaram Thamburan</v>
      </c>
    </row>
    <row r="191" ht="15.75" customHeight="1">
      <c r="A191" s="8" t="s">
        <v>603</v>
      </c>
      <c r="B191" s="18" t="s">
        <v>379</v>
      </c>
      <c r="C191" s="8"/>
      <c r="D191" s="19" t="s">
        <v>207</v>
      </c>
      <c r="E191" s="19" t="s">
        <v>207</v>
      </c>
      <c r="F191" s="8" t="s">
        <v>303</v>
      </c>
      <c r="G191" s="20" t="s">
        <v>605</v>
      </c>
      <c r="H191" s="21" t="str">
        <f>IF(Cricket!O14="","Pool B winner",Cricket!O14)</f>
        <v>Thoofan</v>
      </c>
      <c r="I191" s="21" t="str">
        <f>IF(Cricket!O15="","Pool A runner-up",Cricket!O15)</f>
        <v>Dhurandhar</v>
      </c>
    </row>
    <row r="192" ht="15.75" customHeight="1">
      <c r="A192" s="8" t="s">
        <v>603</v>
      </c>
      <c r="B192" s="18" t="s">
        <v>379</v>
      </c>
      <c r="C192" s="8"/>
      <c r="D192" s="19" t="s">
        <v>207</v>
      </c>
      <c r="E192" s="19" t="s">
        <v>207</v>
      </c>
      <c r="F192" s="8" t="s">
        <v>11</v>
      </c>
      <c r="G192" s="20" t="s">
        <v>606</v>
      </c>
      <c r="H192" s="21" t="str">
        <f>IF(Cricket!T17="","Loser C-SF-01",Cricket!T17)</f>
        <v>Loser C-SF-01</v>
      </c>
      <c r="I192" s="21" t="str">
        <f>IF(Cricket!T18="","Loser C-SF-02",Cricket!T18)</f>
        <v>Loser C-SF-02</v>
      </c>
    </row>
    <row r="193" ht="15.75" customHeight="1">
      <c r="A193" s="15" t="s">
        <v>607</v>
      </c>
      <c r="B193" s="16"/>
      <c r="C193" s="16"/>
      <c r="D193" s="16"/>
      <c r="E193" s="16"/>
      <c r="F193" s="16"/>
      <c r="G193" s="16"/>
      <c r="H193" s="16"/>
      <c r="I193" s="17"/>
    </row>
    <row r="194" ht="15.75" customHeight="1">
      <c r="A194" s="8" t="s">
        <v>608</v>
      </c>
      <c r="B194" s="18" t="s">
        <v>172</v>
      </c>
      <c r="C194" s="8"/>
      <c r="D194" s="19" t="s">
        <v>212</v>
      </c>
      <c r="E194" s="19" t="s">
        <v>212</v>
      </c>
      <c r="F194" s="8" t="s">
        <v>303</v>
      </c>
      <c r="G194" s="20" t="s">
        <v>609</v>
      </c>
      <c r="H194" s="21" t="str">
        <f>IF(Football!O9="","Pool A winner",Football!O9)</f>
        <v>Dhurandhar</v>
      </c>
      <c r="I194" s="21" t="str">
        <f>IF(Football!O10="","Pool B runner-up",Football!O10)</f>
        <v>Thoofan</v>
      </c>
    </row>
    <row r="195" ht="15.75" customHeight="1">
      <c r="A195" s="8" t="s">
        <v>608</v>
      </c>
      <c r="B195" s="18" t="s">
        <v>379</v>
      </c>
      <c r="C195" s="8"/>
      <c r="D195" s="19" t="s">
        <v>212</v>
      </c>
      <c r="E195" s="19" t="s">
        <v>212</v>
      </c>
      <c r="F195" s="8" t="s">
        <v>303</v>
      </c>
      <c r="G195" s="20" t="s">
        <v>610</v>
      </c>
      <c r="H195" s="21" t="str">
        <f>IF(Football!O14="","Pool B winner",Football!O14)</f>
        <v>Rajarajeshwari United</v>
      </c>
      <c r="I195" s="21" t="str">
        <f>IF(Football!O15="","Pool A runner-up",Football!O15)</f>
        <v>Dr. Dashamoolam</v>
      </c>
    </row>
    <row r="196" ht="15.75" customHeight="1">
      <c r="A196" s="8" t="s">
        <v>608</v>
      </c>
      <c r="B196" s="18" t="s">
        <v>379</v>
      </c>
      <c r="C196" s="8"/>
      <c r="D196" s="19" t="s">
        <v>212</v>
      </c>
      <c r="E196" s="19" t="s">
        <v>212</v>
      </c>
      <c r="F196" s="8" t="s">
        <v>11</v>
      </c>
      <c r="G196" s="20" t="s">
        <v>611</v>
      </c>
      <c r="H196" s="21" t="str">
        <f>IF(Football!T17="","Loser F-SF-01",Football!T17)</f>
        <v>Loser F-SF-01</v>
      </c>
      <c r="I196" s="21" t="str">
        <f>IF(Football!T18="","Loser F-SF-02",Football!T18)</f>
        <v>Loser F-SF-02</v>
      </c>
    </row>
    <row r="197" ht="15.75" customHeight="1">
      <c r="A197" s="15" t="s">
        <v>612</v>
      </c>
      <c r="B197" s="16"/>
      <c r="C197" s="16"/>
      <c r="D197" s="16"/>
      <c r="E197" s="16"/>
      <c r="F197" s="16"/>
      <c r="G197" s="16"/>
      <c r="H197" s="16"/>
      <c r="I197" s="17"/>
    </row>
    <row r="198" ht="15.75" customHeight="1">
      <c r="A198" s="8" t="s">
        <v>226</v>
      </c>
      <c r="B198" s="18"/>
      <c r="C198" s="8"/>
      <c r="D198" s="19" t="s">
        <v>207</v>
      </c>
      <c r="E198" s="19" t="s">
        <v>207</v>
      </c>
      <c r="F198" s="8" t="s">
        <v>8</v>
      </c>
      <c r="G198" s="20" t="s">
        <v>613</v>
      </c>
      <c r="H198" s="21" t="str">
        <f>IF(Cricket!T11="","Winner C-SF-01",Cricket!T11)</f>
        <v>Winner C-SF-01</v>
      </c>
      <c r="I198" s="21" t="str">
        <f>IF(Cricket!T12="","Winner C-SF-02",Cricket!T12)</f>
        <v>Winner C-SF-02</v>
      </c>
    </row>
    <row r="199" ht="15.75" customHeight="1">
      <c r="A199" s="8" t="s">
        <v>226</v>
      </c>
      <c r="B199" s="18"/>
      <c r="C199" s="8"/>
      <c r="D199" s="19" t="s">
        <v>212</v>
      </c>
      <c r="E199" s="19" t="s">
        <v>212</v>
      </c>
      <c r="F199" s="8" t="s">
        <v>8</v>
      </c>
      <c r="G199" s="20" t="s">
        <v>614</v>
      </c>
      <c r="H199" s="21" t="str">
        <f>IF(Football!T11="","Winner F-SF-01",Football!T11)</f>
        <v>Winner F-SF-01</v>
      </c>
      <c r="I199" s="21" t="str">
        <f>IF(Football!T12="","Winner F-SF-02",Football!T12)</f>
        <v>Winner F-SF-02</v>
      </c>
    </row>
    <row r="200" ht="15.75" customHeight="1">
      <c r="A200" s="4"/>
      <c r="B200" s="4"/>
      <c r="C200" s="4"/>
      <c r="D200" s="4"/>
      <c r="E200" s="4"/>
      <c r="F200" s="4"/>
      <c r="G200" s="4"/>
      <c r="H200" s="4"/>
      <c r="I200" s="4"/>
    </row>
    <row r="201" ht="15.75" customHeight="1">
      <c r="A201" s="13" t="s">
        <v>615</v>
      </c>
      <c r="B201" s="4"/>
      <c r="C201" s="4"/>
      <c r="D201" s="4"/>
      <c r="E201" s="4"/>
      <c r="F201" s="4"/>
      <c r="G201" s="4"/>
      <c r="H201" s="4"/>
      <c r="I201" s="4"/>
    </row>
    <row r="202" ht="15.75" customHeight="1">
      <c r="A202" s="13" t="s">
        <v>616</v>
      </c>
      <c r="B202" s="4"/>
      <c r="C202" s="4"/>
      <c r="D202" s="4"/>
      <c r="E202" s="4"/>
      <c r="F202" s="4"/>
      <c r="G202" s="4"/>
      <c r="H202" s="4"/>
      <c r="I202" s="4"/>
    </row>
    <row r="203" ht="15.75" customHeight="1">
      <c r="A203" s="13" t="s">
        <v>617</v>
      </c>
      <c r="B203" s="4"/>
      <c r="C203" s="4"/>
      <c r="D203" s="4"/>
      <c r="E203" s="4"/>
      <c r="F203" s="4"/>
      <c r="G203" s="4"/>
      <c r="H203" s="4"/>
      <c r="I203" s="4"/>
    </row>
    <row r="204" ht="15.75" customHeight="1">
      <c r="A204" s="13" t="s">
        <v>618</v>
      </c>
      <c r="B204" s="4"/>
      <c r="C204" s="4"/>
      <c r="D204" s="4"/>
      <c r="E204" s="4"/>
      <c r="F204" s="4"/>
      <c r="G204" s="4"/>
      <c r="H204" s="4"/>
      <c r="I204" s="4"/>
    </row>
    <row r="205" ht="15.75" customHeight="1">
      <c r="A205" s="13" t="s">
        <v>619</v>
      </c>
      <c r="B205" s="4"/>
      <c r="C205" s="4"/>
      <c r="D205" s="4"/>
      <c r="E205" s="4"/>
      <c r="F205" s="4"/>
      <c r="G205" s="4"/>
      <c r="H205" s="4"/>
      <c r="I205" s="4"/>
    </row>
    <row r="206" ht="15.75" customHeight="1">
      <c r="A206" s="13" t="s">
        <v>620</v>
      </c>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I1"/>
    <mergeCell ref="A2:I2"/>
    <mergeCell ref="A5:I5"/>
    <mergeCell ref="A34:I34"/>
    <mergeCell ref="A55:I55"/>
    <mergeCell ref="A72:I72"/>
    <mergeCell ref="A73:I73"/>
    <mergeCell ref="A132:I132"/>
    <mergeCell ref="A153:I153"/>
    <mergeCell ref="A182:I182"/>
    <mergeCell ref="A189:I189"/>
    <mergeCell ref="A193:I193"/>
    <mergeCell ref="A197:I197"/>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55</v>
      </c>
      <c r="B1" s="2"/>
      <c r="C1" s="2"/>
      <c r="D1" s="2"/>
      <c r="E1" s="2"/>
      <c r="F1" s="2"/>
      <c r="G1" s="2"/>
      <c r="H1" s="2"/>
      <c r="I1" s="2"/>
      <c r="J1" s="2"/>
      <c r="K1" s="2"/>
      <c r="L1" s="2"/>
      <c r="M1" s="2"/>
      <c r="N1" s="2"/>
      <c r="O1" s="2"/>
      <c r="P1" s="2"/>
      <c r="Q1" s="2"/>
      <c r="R1" s="2"/>
      <c r="S1" s="2"/>
      <c r="T1" s="2"/>
      <c r="U1" s="2"/>
      <c r="V1" s="2"/>
    </row>
    <row r="2">
      <c r="A2" s="3" t="s">
        <v>56</v>
      </c>
    </row>
    <row r="3">
      <c r="A3" s="4"/>
      <c r="B3" s="4"/>
      <c r="C3" s="4"/>
      <c r="D3" s="4"/>
      <c r="E3" s="4"/>
      <c r="F3" s="4"/>
      <c r="G3" s="4"/>
      <c r="H3" s="4"/>
      <c r="I3" s="4"/>
      <c r="J3" s="4"/>
      <c r="K3" s="4"/>
      <c r="L3" s="4"/>
      <c r="M3" s="4"/>
      <c r="N3" s="4"/>
      <c r="O3" s="4"/>
      <c r="P3" s="4"/>
      <c r="Q3" s="4"/>
      <c r="R3" s="4"/>
      <c r="S3" s="4"/>
      <c r="T3" s="4"/>
      <c r="U3" s="4"/>
      <c r="V3" s="4"/>
    </row>
    <row r="4" ht="19.5" customHeight="1">
      <c r="A4" s="22" t="s">
        <v>50</v>
      </c>
      <c r="B4" s="2"/>
      <c r="C4" s="4"/>
      <c r="D4" s="4"/>
      <c r="E4" s="22" t="s">
        <v>57</v>
      </c>
      <c r="F4" s="2"/>
      <c r="G4" s="4"/>
      <c r="H4" s="4"/>
      <c r="I4" s="22" t="s">
        <v>58</v>
      </c>
      <c r="J4" s="2"/>
      <c r="K4" s="4"/>
      <c r="L4" s="4"/>
      <c r="M4" s="22" t="s">
        <v>59</v>
      </c>
      <c r="N4" s="2"/>
      <c r="O4" s="4"/>
      <c r="P4" s="4"/>
      <c r="Q4" s="22" t="s">
        <v>8</v>
      </c>
      <c r="R4" s="2"/>
      <c r="S4" s="4"/>
      <c r="T4" s="4"/>
      <c r="U4" s="23" t="s">
        <v>9</v>
      </c>
      <c r="V4" s="24"/>
    </row>
    <row r="5">
      <c r="A5" s="25" t="s">
        <v>60</v>
      </c>
      <c r="B5" s="2"/>
      <c r="C5" s="4"/>
      <c r="D5" s="4"/>
      <c r="E5" s="25" t="s">
        <v>61</v>
      </c>
      <c r="F5" s="2"/>
      <c r="G5" s="4"/>
      <c r="H5" s="4"/>
      <c r="I5" s="25" t="s">
        <v>62</v>
      </c>
      <c r="J5" s="2"/>
      <c r="K5" s="4"/>
      <c r="L5" s="4"/>
      <c r="M5" s="25" t="s">
        <v>63</v>
      </c>
      <c r="N5" s="2"/>
      <c r="O5" s="4"/>
      <c r="P5" s="4"/>
      <c r="Q5" s="25" t="s">
        <v>64</v>
      </c>
      <c r="R5" s="2"/>
      <c r="S5" s="4"/>
      <c r="T5" s="4"/>
      <c r="U5" s="26"/>
    </row>
    <row r="6" ht="16.5" customHeight="1">
      <c r="A6" s="27" t="s">
        <v>65</v>
      </c>
      <c r="B6" s="28"/>
      <c r="C6" s="4"/>
      <c r="D6" s="4"/>
      <c r="E6" s="4"/>
      <c r="F6" s="4"/>
      <c r="G6" s="4"/>
      <c r="H6" s="4"/>
      <c r="I6" s="4"/>
      <c r="J6" s="4"/>
      <c r="K6" s="4"/>
      <c r="L6" s="4"/>
      <c r="M6" s="4"/>
      <c r="N6" s="4"/>
      <c r="O6" s="4"/>
      <c r="P6" s="4"/>
      <c r="Q6" s="4"/>
      <c r="R6" s="4"/>
      <c r="S6" s="4"/>
      <c r="T6" s="4"/>
      <c r="U6" s="4"/>
      <c r="V6" s="4"/>
    </row>
    <row r="7" ht="16.5" customHeight="1">
      <c r="A7" s="29" t="s">
        <v>66</v>
      </c>
      <c r="B7" s="30" t="s">
        <v>67</v>
      </c>
      <c r="C7" s="31"/>
      <c r="D7" s="4"/>
      <c r="E7" s="4"/>
      <c r="F7" s="4"/>
      <c r="G7" s="4"/>
      <c r="H7" s="4"/>
      <c r="I7" s="4"/>
      <c r="J7" s="4"/>
      <c r="K7" s="4"/>
      <c r="L7" s="4"/>
      <c r="M7" s="4"/>
      <c r="N7" s="4"/>
      <c r="O7" s="4"/>
      <c r="P7" s="4"/>
      <c r="Q7" s="4"/>
      <c r="R7" s="4"/>
      <c r="S7" s="4"/>
      <c r="T7" s="4"/>
      <c r="U7" s="4"/>
      <c r="V7" s="4"/>
    </row>
    <row r="8" ht="16.5" customHeight="1">
      <c r="A8" s="32" t="s">
        <v>68</v>
      </c>
      <c r="B8" s="33" t="s">
        <v>69</v>
      </c>
      <c r="C8" s="34"/>
      <c r="D8" s="4"/>
      <c r="E8" s="27" t="s">
        <v>70</v>
      </c>
      <c r="F8" s="28"/>
      <c r="G8" s="4"/>
      <c r="H8" s="4"/>
      <c r="I8" s="4"/>
      <c r="J8" s="4"/>
      <c r="K8" s="4"/>
      <c r="L8" s="4"/>
      <c r="M8" s="4"/>
      <c r="N8" s="4"/>
      <c r="O8" s="4"/>
      <c r="P8" s="4"/>
      <c r="Q8" s="4"/>
      <c r="R8" s="4"/>
      <c r="S8" s="4"/>
      <c r="T8" s="4"/>
      <c r="U8" s="4"/>
      <c r="V8" s="4"/>
    </row>
    <row r="9" ht="16.5" customHeight="1">
      <c r="A9" s="4"/>
      <c r="B9" s="4"/>
      <c r="C9" s="34"/>
      <c r="D9" s="4"/>
      <c r="E9" s="35" t="s">
        <v>71</v>
      </c>
      <c r="F9" s="30" t="s">
        <v>72</v>
      </c>
      <c r="G9" s="31"/>
      <c r="H9" s="4"/>
      <c r="I9" s="4"/>
      <c r="J9" s="4"/>
      <c r="K9" s="4"/>
      <c r="L9" s="4"/>
      <c r="M9" s="4"/>
      <c r="N9" s="4"/>
      <c r="O9" s="4"/>
      <c r="P9" s="4"/>
      <c r="Q9" s="4"/>
      <c r="R9" s="4"/>
      <c r="S9" s="4"/>
      <c r="T9" s="4"/>
      <c r="U9" s="4"/>
      <c r="V9" s="4"/>
    </row>
    <row r="10" ht="16.5" customHeight="1">
      <c r="A10" s="4"/>
      <c r="B10" s="4"/>
      <c r="C10" s="4"/>
      <c r="D10" s="36"/>
      <c r="E10" s="32" t="str">
        <f>IF(F10="","W CH-R1-01",IF(F10=B7,A7&amp;"",IF(F10=B8,A8&amp;"","W CH-R1-01")))</f>
        <v>Team 6</v>
      </c>
      <c r="F10" s="37" t="s">
        <v>67</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7" t="s">
        <v>73</v>
      </c>
      <c r="J12" s="28"/>
      <c r="K12" s="4"/>
      <c r="L12" s="4"/>
      <c r="M12" s="4"/>
      <c r="N12" s="4"/>
      <c r="O12" s="4"/>
      <c r="P12" s="4"/>
      <c r="Q12" s="4"/>
      <c r="R12" s="4"/>
      <c r="S12" s="4"/>
      <c r="T12" s="4"/>
      <c r="U12" s="4"/>
      <c r="V12" s="4"/>
    </row>
    <row r="13" ht="16.5" customHeight="1">
      <c r="A13" s="4"/>
      <c r="B13" s="4"/>
      <c r="C13" s="4"/>
      <c r="D13" s="4"/>
      <c r="E13" s="4"/>
      <c r="F13" s="4"/>
      <c r="G13" s="4"/>
      <c r="H13" s="36"/>
      <c r="I13" s="29" t="str">
        <f>IF(J13="","W CH-R2-01",IF(J13=F9,E9&amp;"",IF(J13=F10,E10&amp;"","W CH-R2-01")))</f>
        <v>Team 6</v>
      </c>
      <c r="J13" s="38" t="s">
        <v>67</v>
      </c>
      <c r="K13" s="31"/>
      <c r="L13" s="4"/>
      <c r="M13" s="4"/>
      <c r="N13" s="4"/>
      <c r="O13" s="4"/>
      <c r="P13" s="4"/>
      <c r="Q13" s="4"/>
      <c r="R13" s="4"/>
      <c r="S13" s="4"/>
      <c r="T13" s="4"/>
      <c r="U13" s="4"/>
      <c r="V13" s="4"/>
    </row>
    <row r="14" ht="16.5" customHeight="1">
      <c r="A14" s="27" t="s">
        <v>74</v>
      </c>
      <c r="B14" s="28"/>
      <c r="C14" s="4"/>
      <c r="D14" s="4"/>
      <c r="E14" s="4"/>
      <c r="F14" s="4"/>
      <c r="G14" s="34"/>
      <c r="H14" s="36"/>
      <c r="I14" s="32" t="str">
        <f>IF(J14="","W CH-R2-02",IF(J14=F17,E17&amp;"",IF(J14=F18,E18&amp;"","W CH-R2-02")))</f>
        <v>Team 4</v>
      </c>
      <c r="J14" s="37" t="s">
        <v>75</v>
      </c>
      <c r="K14" s="34"/>
      <c r="L14" s="4"/>
      <c r="M14" s="4"/>
      <c r="N14" s="4"/>
      <c r="O14" s="4"/>
      <c r="P14" s="4"/>
      <c r="Q14" s="4"/>
      <c r="R14" s="4"/>
      <c r="S14" s="4"/>
      <c r="T14" s="4"/>
      <c r="U14" s="4"/>
      <c r="V14" s="4"/>
    </row>
    <row r="15" ht="16.5" customHeight="1">
      <c r="A15" s="29" t="s">
        <v>71</v>
      </c>
      <c r="B15" s="30" t="s">
        <v>76</v>
      </c>
      <c r="C15" s="31"/>
      <c r="D15" s="4"/>
      <c r="E15" s="4"/>
      <c r="F15" s="4"/>
      <c r="G15" s="34"/>
      <c r="H15" s="4"/>
      <c r="I15" s="4"/>
      <c r="J15" s="4"/>
      <c r="K15" s="34"/>
      <c r="L15" s="4"/>
      <c r="M15" s="4"/>
      <c r="N15" s="4"/>
      <c r="O15" s="4"/>
      <c r="P15" s="4"/>
      <c r="Q15" s="4"/>
      <c r="R15" s="4"/>
      <c r="S15" s="4"/>
      <c r="T15" s="4"/>
      <c r="U15" s="4"/>
      <c r="V15" s="4"/>
    </row>
    <row r="16" ht="16.5" customHeight="1">
      <c r="A16" s="32" t="s">
        <v>77</v>
      </c>
      <c r="B16" s="33" t="s">
        <v>78</v>
      </c>
      <c r="C16" s="34"/>
      <c r="D16" s="4"/>
      <c r="E16" s="27" t="s">
        <v>79</v>
      </c>
      <c r="F16" s="28"/>
      <c r="G16" s="34"/>
      <c r="H16" s="4"/>
      <c r="I16" s="4"/>
      <c r="J16" s="4"/>
      <c r="K16" s="34"/>
      <c r="L16" s="4"/>
      <c r="M16" s="4"/>
      <c r="N16" s="4"/>
      <c r="O16" s="4"/>
      <c r="P16" s="4"/>
      <c r="Q16" s="4"/>
      <c r="R16" s="4"/>
      <c r="S16" s="4"/>
      <c r="T16" s="4"/>
      <c r="U16" s="4"/>
      <c r="V16" s="4"/>
    </row>
    <row r="17" ht="16.5" customHeight="1">
      <c r="A17" s="4"/>
      <c r="B17" s="4"/>
      <c r="C17" s="4"/>
      <c r="D17" s="36"/>
      <c r="E17" s="29" t="str">
        <f>IF(F17="","W CH-R1-02",IF(F17=B15,A15&amp;"",IF(F17=B16,A16&amp;"","W CH-R1-02")))</f>
        <v>Team 2</v>
      </c>
      <c r="F17" s="38" t="s">
        <v>76</v>
      </c>
      <c r="G17" s="39"/>
      <c r="H17" s="4"/>
      <c r="I17" s="4"/>
      <c r="J17" s="4"/>
      <c r="K17" s="34"/>
      <c r="L17" s="4"/>
      <c r="M17" s="4"/>
      <c r="N17" s="4"/>
      <c r="O17" s="4"/>
      <c r="P17" s="4"/>
      <c r="Q17" s="4"/>
      <c r="R17" s="4"/>
      <c r="S17" s="4"/>
      <c r="T17" s="4"/>
      <c r="U17" s="4"/>
      <c r="V17" s="4"/>
    </row>
    <row r="18" ht="16.5" customHeight="1">
      <c r="A18" s="27" t="s">
        <v>80</v>
      </c>
      <c r="B18" s="28"/>
      <c r="C18" s="34"/>
      <c r="D18" s="36"/>
      <c r="E18" s="32" t="str">
        <f>IF(F18="","W CH-R1-03",IF(F18=B19,A19&amp;"",IF(F18=B20,A20&amp;"","W CH-R1-03")))</f>
        <v>Team 4</v>
      </c>
      <c r="F18" s="37" t="s">
        <v>75</v>
      </c>
      <c r="G18" s="4"/>
      <c r="H18" s="4"/>
      <c r="I18" s="4"/>
      <c r="J18" s="4"/>
      <c r="K18" s="34"/>
      <c r="L18" s="4"/>
      <c r="M18" s="4"/>
      <c r="N18" s="4"/>
      <c r="O18" s="4"/>
      <c r="P18" s="4"/>
      <c r="Q18" s="4"/>
      <c r="R18" s="4"/>
      <c r="S18" s="4"/>
      <c r="T18" s="4"/>
      <c r="U18" s="4"/>
      <c r="V18" s="4"/>
    </row>
    <row r="19" ht="16.5" customHeight="1">
      <c r="A19" s="29" t="s">
        <v>68</v>
      </c>
      <c r="B19" s="30" t="s">
        <v>81</v>
      </c>
      <c r="C19" s="39"/>
      <c r="D19" s="4"/>
      <c r="E19" s="4"/>
      <c r="F19" s="4"/>
      <c r="G19" s="4"/>
      <c r="H19" s="4"/>
      <c r="I19" s="4"/>
      <c r="J19" s="4"/>
      <c r="K19" s="34"/>
      <c r="L19" s="4"/>
      <c r="M19" s="4"/>
      <c r="N19" s="4"/>
      <c r="O19" s="4"/>
      <c r="P19" s="4"/>
      <c r="Q19" s="4"/>
      <c r="R19" s="4"/>
      <c r="S19" s="4"/>
      <c r="T19" s="4"/>
      <c r="U19" s="4"/>
      <c r="V19" s="4"/>
    </row>
    <row r="20" ht="16.5" customHeight="1">
      <c r="A20" s="32" t="s">
        <v>82</v>
      </c>
      <c r="B20" s="33" t="s">
        <v>75</v>
      </c>
      <c r="C20" s="4"/>
      <c r="D20" s="4"/>
      <c r="E20" s="4"/>
      <c r="F20" s="4"/>
      <c r="G20" s="4"/>
      <c r="H20" s="4"/>
      <c r="I20" s="4"/>
      <c r="J20" s="4"/>
      <c r="K20" s="34"/>
      <c r="L20" s="4"/>
      <c r="M20" s="27" t="s">
        <v>83</v>
      </c>
      <c r="N20" s="28"/>
      <c r="O20" s="4"/>
      <c r="P20" s="4"/>
      <c r="Q20" s="4"/>
      <c r="R20" s="4"/>
      <c r="S20" s="4"/>
      <c r="T20" s="4"/>
      <c r="U20" s="4"/>
      <c r="V20" s="4"/>
    </row>
    <row r="21" ht="16.5" customHeight="1">
      <c r="A21" s="4"/>
      <c r="B21" s="4"/>
      <c r="C21" s="4"/>
      <c r="D21" s="4"/>
      <c r="E21" s="4"/>
      <c r="F21" s="4"/>
      <c r="G21" s="4"/>
      <c r="H21" s="4"/>
      <c r="I21" s="4"/>
      <c r="J21" s="4"/>
      <c r="K21" s="4"/>
      <c r="L21" s="36"/>
      <c r="M21" s="29" t="str">
        <f>IF(N21="","W CH-R3-01",IF(N21=J13,I13&amp;"",IF(N21=J14,I14&amp;"","W CH-R3-01")))</f>
        <v>Team 6</v>
      </c>
      <c r="N21" s="38" t="s">
        <v>67</v>
      </c>
      <c r="O21" s="31"/>
      <c r="P21" s="4"/>
      <c r="Q21" s="4"/>
      <c r="R21" s="4"/>
      <c r="S21" s="4"/>
      <c r="T21" s="4"/>
      <c r="U21" s="4"/>
      <c r="V21" s="4"/>
    </row>
    <row r="22" ht="16.5" customHeight="1">
      <c r="A22" s="27" t="s">
        <v>84</v>
      </c>
      <c r="B22" s="28"/>
      <c r="C22" s="4"/>
      <c r="D22" s="4"/>
      <c r="E22" s="4"/>
      <c r="F22" s="4"/>
      <c r="G22" s="4"/>
      <c r="H22" s="4"/>
      <c r="I22" s="4"/>
      <c r="J22" s="4"/>
      <c r="K22" s="34"/>
      <c r="L22" s="36"/>
      <c r="M22" s="32" t="str">
        <f>IF(N22="","W CH-R3-02",IF(N22=J29,I29&amp;"",IF(N22=J30,I30&amp;"","W CH-R3-02")))</f>
        <v>Team 2</v>
      </c>
      <c r="N22" s="37" t="s">
        <v>85</v>
      </c>
      <c r="O22" s="34"/>
      <c r="P22" s="4"/>
      <c r="Q22" s="4"/>
      <c r="R22" s="4"/>
      <c r="S22" s="4"/>
      <c r="T22" s="4"/>
      <c r="U22" s="4"/>
      <c r="V22" s="4"/>
    </row>
    <row r="23" ht="16.5" customHeight="1">
      <c r="A23" s="29" t="s">
        <v>71</v>
      </c>
      <c r="B23" s="30" t="s">
        <v>85</v>
      </c>
      <c r="C23" s="31"/>
      <c r="D23" s="4"/>
      <c r="E23" s="4"/>
      <c r="F23" s="4"/>
      <c r="G23" s="4"/>
      <c r="H23" s="4"/>
      <c r="I23" s="4"/>
      <c r="J23" s="4"/>
      <c r="K23" s="34"/>
      <c r="L23" s="4"/>
      <c r="M23" s="4"/>
      <c r="N23" s="4"/>
      <c r="O23" s="34"/>
      <c r="P23" s="4"/>
      <c r="Q23" s="4"/>
      <c r="R23" s="4"/>
      <c r="S23" s="4"/>
      <c r="T23" s="4"/>
      <c r="U23" s="4"/>
      <c r="V23" s="4"/>
    </row>
    <row r="24" ht="16.5" customHeight="1">
      <c r="A24" s="32" t="s">
        <v>86</v>
      </c>
      <c r="B24" s="33" t="s">
        <v>87</v>
      </c>
      <c r="C24" s="34"/>
      <c r="D24" s="4"/>
      <c r="E24" s="27" t="s">
        <v>88</v>
      </c>
      <c r="F24" s="28"/>
      <c r="G24" s="4"/>
      <c r="H24" s="4"/>
      <c r="I24" s="4"/>
      <c r="J24" s="4"/>
      <c r="K24" s="34"/>
      <c r="L24" s="4"/>
      <c r="M24" s="4"/>
      <c r="N24" s="4"/>
      <c r="O24" s="34"/>
      <c r="P24" s="4"/>
      <c r="Q24" s="4"/>
      <c r="R24" s="4"/>
      <c r="S24" s="4"/>
      <c r="T24" s="4"/>
      <c r="U24" s="4"/>
      <c r="V24" s="4"/>
    </row>
    <row r="25" ht="16.5" customHeight="1">
      <c r="A25" s="4"/>
      <c r="B25" s="4"/>
      <c r="C25" s="4"/>
      <c r="D25" s="36"/>
      <c r="E25" s="29" t="str">
        <f>IF(F25="","W CH-R1-04",IF(F25=B23,A23&amp;"",IF(F25=B24,A24&amp;"","W CH-R1-04")))</f>
        <v>Team 2</v>
      </c>
      <c r="F25" s="38" t="s">
        <v>85</v>
      </c>
      <c r="G25" s="31"/>
      <c r="H25" s="4"/>
      <c r="I25" s="4"/>
      <c r="J25" s="4"/>
      <c r="K25" s="34"/>
      <c r="L25" s="4"/>
      <c r="M25" s="4"/>
      <c r="N25" s="4"/>
      <c r="O25" s="34"/>
      <c r="P25" s="4"/>
      <c r="Q25" s="4"/>
      <c r="R25" s="4"/>
      <c r="S25" s="4"/>
      <c r="T25" s="4"/>
      <c r="U25" s="4"/>
      <c r="V25" s="4"/>
    </row>
    <row r="26" ht="16.5" customHeight="1">
      <c r="A26" s="27" t="s">
        <v>89</v>
      </c>
      <c r="B26" s="28"/>
      <c r="C26" s="34"/>
      <c r="D26" s="36"/>
      <c r="E26" s="32" t="str">
        <f>IF(F26="","W CH-R1-05",IF(F26=B27,A27&amp;"",IF(F26=B28,A28&amp;"","W CH-R1-05")))</f>
        <v>Team 6</v>
      </c>
      <c r="F26" s="37" t="s">
        <v>97</v>
      </c>
      <c r="G26" s="34"/>
      <c r="H26" s="4"/>
      <c r="I26" s="4"/>
      <c r="J26" s="4"/>
      <c r="K26" s="34"/>
      <c r="L26" s="4"/>
      <c r="M26" s="4"/>
      <c r="N26" s="4"/>
      <c r="O26" s="34"/>
      <c r="P26" s="4"/>
      <c r="Q26" s="4"/>
      <c r="R26" s="4"/>
      <c r="S26" s="4"/>
      <c r="T26" s="4"/>
      <c r="U26" s="4"/>
      <c r="V26" s="4"/>
    </row>
    <row r="27" ht="16.5" customHeight="1">
      <c r="A27" s="29" t="s">
        <v>66</v>
      </c>
      <c r="B27" s="30" t="s">
        <v>97</v>
      </c>
      <c r="C27" s="39"/>
      <c r="D27" s="4"/>
      <c r="E27" s="4"/>
      <c r="F27" s="4"/>
      <c r="G27" s="34"/>
      <c r="H27" s="4"/>
      <c r="I27" s="4"/>
      <c r="J27" s="4"/>
      <c r="K27" s="34"/>
      <c r="L27" s="4"/>
      <c r="M27" s="4"/>
      <c r="N27" s="4"/>
      <c r="O27" s="34"/>
      <c r="P27" s="4"/>
      <c r="Q27" s="4"/>
      <c r="R27" s="4"/>
      <c r="S27" s="4"/>
      <c r="T27" s="4"/>
      <c r="U27" s="4"/>
      <c r="V27" s="4"/>
    </row>
    <row r="28" ht="16.5" customHeight="1">
      <c r="A28" s="32" t="s">
        <v>86</v>
      </c>
      <c r="B28" s="33" t="s">
        <v>100</v>
      </c>
      <c r="C28" s="4"/>
      <c r="D28" s="4"/>
      <c r="E28" s="4"/>
      <c r="F28" s="4"/>
      <c r="G28" s="34"/>
      <c r="H28" s="4"/>
      <c r="I28" s="27" t="s">
        <v>101</v>
      </c>
      <c r="J28" s="28"/>
      <c r="K28" s="34"/>
      <c r="L28" s="4"/>
      <c r="M28" s="4"/>
      <c r="N28" s="4"/>
      <c r="O28" s="34"/>
      <c r="P28" s="4"/>
      <c r="Q28" s="4"/>
      <c r="R28" s="4"/>
      <c r="S28" s="4"/>
      <c r="T28" s="4"/>
      <c r="U28" s="4"/>
      <c r="V28" s="4"/>
    </row>
    <row r="29" ht="16.5" customHeight="1">
      <c r="A29" s="4"/>
      <c r="B29" s="4"/>
      <c r="C29" s="4"/>
      <c r="D29" s="4"/>
      <c r="E29" s="4"/>
      <c r="F29" s="4"/>
      <c r="G29" s="4"/>
      <c r="H29" s="36"/>
      <c r="I29" s="29" t="str">
        <f>IF(J29="","W CH-R2-03",IF(J29=F25,E25&amp;"",IF(J29=F26,E26&amp;"","W CH-R2-03")))</f>
        <v>Team 2</v>
      </c>
      <c r="J29" s="38" t="s">
        <v>85</v>
      </c>
      <c r="K29" s="39"/>
      <c r="L29" s="4"/>
      <c r="M29" s="4"/>
      <c r="N29" s="4"/>
      <c r="O29" s="34"/>
      <c r="P29" s="4"/>
      <c r="Q29" s="4"/>
      <c r="R29" s="4"/>
      <c r="S29" s="4"/>
      <c r="T29" s="4"/>
      <c r="U29" s="4"/>
      <c r="V29" s="4"/>
    </row>
    <row r="30" ht="16.5" customHeight="1">
      <c r="A30" s="27" t="s">
        <v>104</v>
      </c>
      <c r="B30" s="28"/>
      <c r="C30" s="4"/>
      <c r="D30" s="4"/>
      <c r="E30" s="4"/>
      <c r="F30" s="4"/>
      <c r="G30" s="34"/>
      <c r="H30" s="36"/>
      <c r="I30" s="32" t="str">
        <f>IF(J30="","W CH-R2-04",IF(J30=F33,E33&amp;"",IF(J30=F34,E34&amp;"","W CH-R2-04")))</f>
        <v>Team 4</v>
      </c>
      <c r="J30" s="37" t="s">
        <v>106</v>
      </c>
      <c r="K30" s="4"/>
      <c r="L30" s="4"/>
      <c r="M30" s="4"/>
      <c r="N30" s="4"/>
      <c r="O30" s="34"/>
      <c r="P30" s="4"/>
      <c r="Q30" s="4"/>
      <c r="R30" s="4"/>
      <c r="S30" s="4"/>
      <c r="T30" s="4"/>
      <c r="U30" s="4"/>
      <c r="V30" s="4"/>
    </row>
    <row r="31" ht="16.5" customHeight="1">
      <c r="A31" s="29" t="s">
        <v>82</v>
      </c>
      <c r="B31" s="30" t="s">
        <v>106</v>
      </c>
      <c r="C31" s="31"/>
      <c r="D31" s="4"/>
      <c r="E31" s="4"/>
      <c r="F31" s="4"/>
      <c r="G31" s="34"/>
      <c r="H31" s="4"/>
      <c r="I31" s="4"/>
      <c r="J31" s="4"/>
      <c r="K31" s="4"/>
      <c r="L31" s="4"/>
      <c r="M31" s="4"/>
      <c r="N31" s="4"/>
      <c r="O31" s="34"/>
      <c r="P31" s="4"/>
      <c r="Q31" s="4"/>
      <c r="R31" s="4"/>
      <c r="S31" s="4"/>
      <c r="T31" s="4"/>
      <c r="U31" s="4"/>
      <c r="V31" s="4"/>
    </row>
    <row r="32" ht="16.5" customHeight="1">
      <c r="A32" s="32" t="s">
        <v>86</v>
      </c>
      <c r="B32" s="33" t="s">
        <v>107</v>
      </c>
      <c r="C32" s="34"/>
      <c r="D32" s="4"/>
      <c r="E32" s="27" t="s">
        <v>108</v>
      </c>
      <c r="F32" s="28"/>
      <c r="G32" s="34"/>
      <c r="H32" s="4"/>
      <c r="I32" s="4"/>
      <c r="J32" s="4"/>
      <c r="K32" s="4"/>
      <c r="L32" s="4"/>
      <c r="M32" s="4"/>
      <c r="N32" s="4"/>
      <c r="O32" s="34"/>
      <c r="P32" s="4"/>
      <c r="Q32" s="4"/>
      <c r="R32" s="4"/>
      <c r="S32" s="4"/>
      <c r="T32" s="4"/>
      <c r="U32" s="4"/>
      <c r="V32" s="4"/>
    </row>
    <row r="33" ht="16.5" customHeight="1">
      <c r="A33" s="4"/>
      <c r="B33" s="4"/>
      <c r="C33" s="4"/>
      <c r="D33" s="36"/>
      <c r="E33" s="29" t="str">
        <f>IF(F33="","W CH-R1-06",IF(F33=B31,A31&amp;"",IF(F33=B32,A32&amp;"","W CH-R1-06")))</f>
        <v>Team 4</v>
      </c>
      <c r="F33" s="38" t="s">
        <v>106</v>
      </c>
      <c r="G33" s="39"/>
      <c r="H33" s="4"/>
      <c r="I33" s="4"/>
      <c r="J33" s="4"/>
      <c r="K33" s="4"/>
      <c r="L33" s="4"/>
      <c r="M33" s="4"/>
      <c r="N33" s="4"/>
      <c r="O33" s="34"/>
      <c r="P33" s="4"/>
      <c r="Q33" s="4"/>
      <c r="R33" s="4"/>
      <c r="S33" s="4"/>
      <c r="T33" s="4"/>
      <c r="U33" s="4"/>
      <c r="V33" s="4"/>
    </row>
    <row r="34" ht="16.5" customHeight="1">
      <c r="A34" s="27" t="s">
        <v>109</v>
      </c>
      <c r="B34" s="28"/>
      <c r="C34" s="34"/>
      <c r="D34" s="36"/>
      <c r="E34" s="32" t="str">
        <f>IF(F34="","W CH-R1-07",IF(F34=B35,A35&amp;"",IF(F34=B36,A36&amp;"","W CH-R1-07")))</f>
        <v>Team 3</v>
      </c>
      <c r="F34" s="37" t="s">
        <v>110</v>
      </c>
      <c r="G34" s="4"/>
      <c r="H34" s="4"/>
      <c r="I34" s="4"/>
      <c r="J34" s="4"/>
      <c r="K34" s="4"/>
      <c r="L34" s="4"/>
      <c r="M34" s="4"/>
      <c r="N34" s="4"/>
      <c r="O34" s="34"/>
      <c r="P34" s="4"/>
      <c r="Q34" s="4"/>
      <c r="R34" s="4"/>
      <c r="S34" s="4"/>
      <c r="T34" s="4"/>
      <c r="U34" s="4"/>
      <c r="V34" s="4"/>
    </row>
    <row r="35" ht="16.5" customHeight="1">
      <c r="A35" s="29" t="s">
        <v>77</v>
      </c>
      <c r="B35" s="30" t="s">
        <v>110</v>
      </c>
      <c r="C35" s="39"/>
      <c r="D35" s="4"/>
      <c r="E35" s="4"/>
      <c r="F35" s="4"/>
      <c r="G35" s="4"/>
      <c r="H35" s="4"/>
      <c r="I35" s="4"/>
      <c r="J35" s="4"/>
      <c r="K35" s="4"/>
      <c r="L35" s="4"/>
      <c r="M35" s="4"/>
      <c r="N35" s="4"/>
      <c r="O35" s="34"/>
      <c r="P35" s="4"/>
      <c r="Q35" s="4"/>
      <c r="R35" s="4"/>
      <c r="S35" s="4"/>
      <c r="T35" s="4"/>
      <c r="U35" s="4"/>
      <c r="V35" s="4"/>
    </row>
    <row r="36" ht="16.5" customHeight="1">
      <c r="A36" s="32" t="s">
        <v>71</v>
      </c>
      <c r="B36" s="33" t="s">
        <v>111</v>
      </c>
      <c r="C36" s="4"/>
      <c r="D36" s="4"/>
      <c r="E36" s="4"/>
      <c r="F36" s="4"/>
      <c r="G36" s="4"/>
      <c r="H36" s="4"/>
      <c r="I36" s="4"/>
      <c r="J36" s="4"/>
      <c r="K36" s="4"/>
      <c r="L36" s="4"/>
      <c r="M36" s="4"/>
      <c r="N36" s="4"/>
      <c r="O36" s="34"/>
      <c r="P36" s="4"/>
      <c r="Q36" s="27" t="s">
        <v>112</v>
      </c>
      <c r="R36" s="28"/>
      <c r="S36" s="4"/>
      <c r="T36" s="4"/>
      <c r="U36" s="46" t="s">
        <v>113</v>
      </c>
      <c r="V36" s="17"/>
    </row>
    <row r="37" ht="16.5" customHeight="1">
      <c r="A37" s="4"/>
      <c r="B37" s="4"/>
      <c r="C37" s="4"/>
      <c r="D37" s="4"/>
      <c r="E37" s="4"/>
      <c r="F37" s="4"/>
      <c r="G37" s="4"/>
      <c r="H37" s="4"/>
      <c r="I37" s="4"/>
      <c r="J37" s="4"/>
      <c r="K37" s="4"/>
      <c r="L37" s="4"/>
      <c r="M37" s="4"/>
      <c r="N37" s="4"/>
      <c r="O37" s="4"/>
      <c r="P37" s="36"/>
      <c r="Q37" s="29" t="str">
        <f>IF(R37="","W CH-R4-01",IF(R37=N21,M21&amp;"",IF(R37=N22,M22&amp;"","W CH-R4-01")))</f>
        <v>Team 2</v>
      </c>
      <c r="R37" s="38" t="s">
        <v>85</v>
      </c>
      <c r="S37" s="31"/>
      <c r="T37" s="31"/>
      <c r="U37" s="48" t="str">
        <f>IF(V37="","W CH-R5-01",IF(V37=R37,Q37&amp;"",IF(V37=R38,Q38&amp;"","W CH-R5-01")))</f>
        <v>W CH-R5-01</v>
      </c>
      <c r="V37" s="49"/>
    </row>
    <row r="38" ht="16.5" customHeight="1">
      <c r="A38" s="27" t="s">
        <v>114</v>
      </c>
      <c r="B38" s="28"/>
      <c r="C38" s="4"/>
      <c r="D38" s="4"/>
      <c r="E38" s="4"/>
      <c r="F38" s="4"/>
      <c r="G38" s="4"/>
      <c r="H38" s="4"/>
      <c r="I38" s="4"/>
      <c r="J38" s="4"/>
      <c r="K38" s="4"/>
      <c r="L38" s="4"/>
      <c r="M38" s="4"/>
      <c r="N38" s="4"/>
      <c r="O38" s="34"/>
      <c r="P38" s="36"/>
      <c r="Q38" s="32" t="str">
        <f>IF(R38="","W CH-R4-02",IF(R38=N53,M53&amp;"",IF(R38=N54,M54&amp;"","W CH-R4-02")))</f>
        <v>Team 6</v>
      </c>
      <c r="R38" s="37" t="s">
        <v>115</v>
      </c>
      <c r="S38" s="4"/>
      <c r="T38" s="4"/>
      <c r="U38" s="50" t="s">
        <v>116</v>
      </c>
      <c r="V38" s="17"/>
    </row>
    <row r="39" ht="16.5" customHeight="1">
      <c r="A39" s="29" t="s">
        <v>77</v>
      </c>
      <c r="B39" s="30" t="s">
        <v>117</v>
      </c>
      <c r="C39" s="31"/>
      <c r="D39" s="4"/>
      <c r="E39" s="4"/>
      <c r="F39" s="4"/>
      <c r="G39" s="4"/>
      <c r="H39" s="4"/>
      <c r="I39" s="4"/>
      <c r="J39" s="4"/>
      <c r="K39" s="4"/>
      <c r="L39" s="4"/>
      <c r="M39" s="4"/>
      <c r="N39" s="4"/>
      <c r="O39" s="34"/>
      <c r="P39" s="4"/>
      <c r="Q39" s="4"/>
      <c r="R39" s="4"/>
      <c r="S39" s="4"/>
      <c r="T39" s="4"/>
      <c r="U39" s="55" t="str">
        <f>IF(V37="","L final",IF(V37=R37,Q38&amp;"",IF(V37=R38,Q37&amp;"","L final")))</f>
        <v>L final</v>
      </c>
      <c r="V39" s="56" t="str">
        <f>IF(V37="","",IF(V37=R37,R38&amp;"",IF(V37=R38,R37&amp;"","")))</f>
        <v/>
      </c>
    </row>
    <row r="40" ht="16.5" customHeight="1">
      <c r="A40" s="32" t="s">
        <v>71</v>
      </c>
      <c r="B40" s="33" t="s">
        <v>118</v>
      </c>
      <c r="C40" s="34"/>
      <c r="D40" s="4"/>
      <c r="E40" s="27" t="s">
        <v>119</v>
      </c>
      <c r="F40" s="28"/>
      <c r="G40" s="4"/>
      <c r="H40" s="4"/>
      <c r="I40" s="4"/>
      <c r="J40" s="4"/>
      <c r="K40" s="4"/>
      <c r="L40" s="4"/>
      <c r="M40" s="4"/>
      <c r="N40" s="4"/>
      <c r="O40" s="34"/>
      <c r="P40" s="4"/>
      <c r="Q40" s="4"/>
      <c r="R40" s="4"/>
      <c r="S40" s="4"/>
      <c r="T40" s="4"/>
      <c r="U40" s="4"/>
      <c r="V40" s="4"/>
    </row>
    <row r="41" ht="16.5" customHeight="1">
      <c r="A41" s="4"/>
      <c r="B41" s="4"/>
      <c r="C41" s="4"/>
      <c r="D41" s="36"/>
      <c r="E41" s="29" t="str">
        <f>IF(F41="","W CH-R1-08",IF(F41=B39,A39&amp;"",IF(F41=B40,A40&amp;"","W CH-R1-08")))</f>
        <v>Team 2</v>
      </c>
      <c r="F41" s="38" t="s">
        <v>118</v>
      </c>
      <c r="G41" s="31"/>
      <c r="H41" s="4"/>
      <c r="I41" s="4"/>
      <c r="J41" s="4"/>
      <c r="K41" s="4"/>
      <c r="L41" s="4"/>
      <c r="M41" s="4"/>
      <c r="N41" s="4"/>
      <c r="O41" s="34"/>
      <c r="P41" s="4"/>
      <c r="Q41" s="57" t="s">
        <v>120</v>
      </c>
      <c r="R41" s="28"/>
      <c r="S41" s="4"/>
      <c r="T41" s="4"/>
      <c r="U41" s="59" t="s">
        <v>121</v>
      </c>
      <c r="V41" s="17"/>
    </row>
    <row r="42" ht="16.5" customHeight="1">
      <c r="A42" s="27" t="s">
        <v>122</v>
      </c>
      <c r="B42" s="28"/>
      <c r="C42" s="34"/>
      <c r="D42" s="36"/>
      <c r="E42" s="32" t="str">
        <f>IF(F42="","W CH-R1-09",IF(F42=B43,A43&amp;"",IF(F42=B44,A44&amp;"","W CH-R1-09")))</f>
        <v>Team 1</v>
      </c>
      <c r="F42" s="37" t="s">
        <v>123</v>
      </c>
      <c r="G42" s="34"/>
      <c r="H42" s="4"/>
      <c r="I42" s="4"/>
      <c r="J42" s="4"/>
      <c r="K42" s="4"/>
      <c r="L42" s="4"/>
      <c r="M42" s="4"/>
      <c r="N42" s="4"/>
      <c r="O42" s="34"/>
      <c r="P42" s="4"/>
      <c r="Q42" s="29" t="str">
        <f>IF(R37="","L CH-R4-01",IF(R37=N21,M22&amp;"",IF(R37=N22,M21&amp;"","L CH-R4-01")))</f>
        <v>Team 6</v>
      </c>
      <c r="R42" s="21" t="str">
        <f>IF(R37="","",IF(R37=N21,N22&amp;"",IF(R37=N22,N21&amp;"","")))</f>
        <v>Hrishikesh</v>
      </c>
      <c r="S42" s="31"/>
      <c r="T42" s="31"/>
      <c r="U42" s="60" t="str">
        <f>IF(V42="","W CH-3P-01",IF(V42=R42,Q42&amp;"",IF(V42=R43,Q43&amp;"","W CH-3P-01")))</f>
        <v>Team 6</v>
      </c>
      <c r="V42" s="61" t="s">
        <v>67</v>
      </c>
    </row>
    <row r="43" ht="16.5" customHeight="1">
      <c r="A43" s="29" t="s">
        <v>66</v>
      </c>
      <c r="B43" s="30" t="s">
        <v>124</v>
      </c>
      <c r="C43" s="39"/>
      <c r="D43" s="4"/>
      <c r="E43" s="4"/>
      <c r="F43" s="4"/>
      <c r="G43" s="34"/>
      <c r="H43" s="4"/>
      <c r="I43" s="4"/>
      <c r="J43" s="4"/>
      <c r="K43" s="4"/>
      <c r="L43" s="4"/>
      <c r="M43" s="4"/>
      <c r="N43" s="4"/>
      <c r="O43" s="34"/>
      <c r="P43" s="4"/>
      <c r="Q43" s="32" t="str">
        <f>IF(R38="","L CH-R4-02",IF(R38=N53,M54&amp;"",IF(R38=N54,M53&amp;"","L CH-R4-02")))</f>
        <v>Team 5</v>
      </c>
      <c r="R43" s="62" t="str">
        <f>IF(R38="","",IF(R38=N53,N54&amp;"",IF(R38=N54,N53&amp;"","")))</f>
        <v>Akshay A</v>
      </c>
      <c r="S43" s="4"/>
      <c r="T43" s="4"/>
      <c r="U43" s="4"/>
      <c r="V43" s="4"/>
    </row>
    <row r="44" ht="16.5" customHeight="1">
      <c r="A44" s="32" t="s">
        <v>68</v>
      </c>
      <c r="B44" s="33" t="s">
        <v>123</v>
      </c>
      <c r="C44" s="4"/>
      <c r="D44" s="4"/>
      <c r="E44" s="4"/>
      <c r="F44" s="4"/>
      <c r="G44" s="34"/>
      <c r="H44" s="4"/>
      <c r="I44" s="27" t="s">
        <v>125</v>
      </c>
      <c r="J44" s="28"/>
      <c r="K44" s="4"/>
      <c r="L44" s="4"/>
      <c r="M44" s="4"/>
      <c r="N44" s="4"/>
      <c r="O44" s="34"/>
      <c r="P44" s="4"/>
      <c r="Q44" s="4"/>
      <c r="R44" s="4"/>
      <c r="S44" s="4"/>
      <c r="T44" s="4"/>
      <c r="U44" s="4"/>
      <c r="V44" s="4"/>
    </row>
    <row r="45" ht="16.5" customHeight="1">
      <c r="A45" s="4"/>
      <c r="B45" s="4"/>
      <c r="C45" s="4"/>
      <c r="D45" s="4"/>
      <c r="E45" s="4"/>
      <c r="F45" s="4"/>
      <c r="G45" s="4"/>
      <c r="H45" s="36"/>
      <c r="I45" s="29" t="str">
        <f>IF(J45="","W CH-R2-05",IF(J45=F41,E41&amp;"",IF(J45=F42,E42&amp;"","W CH-R2-05")))</f>
        <v>Team 1</v>
      </c>
      <c r="J45" s="38" t="s">
        <v>123</v>
      </c>
      <c r="K45" s="31"/>
      <c r="L45" s="4"/>
      <c r="M45" s="4"/>
      <c r="N45" s="4"/>
      <c r="O45" s="34"/>
      <c r="P45" s="4"/>
      <c r="Q45" s="4"/>
      <c r="R45" s="4"/>
      <c r="S45" s="4"/>
      <c r="T45" s="4"/>
      <c r="U45" s="4"/>
      <c r="V45" s="4"/>
    </row>
    <row r="46" ht="16.5" customHeight="1">
      <c r="A46" s="27" t="s">
        <v>126</v>
      </c>
      <c r="B46" s="28"/>
      <c r="C46" s="4"/>
      <c r="D46" s="4"/>
      <c r="E46" s="4"/>
      <c r="F46" s="4"/>
      <c r="G46" s="34"/>
      <c r="H46" s="36"/>
      <c r="I46" s="32" t="str">
        <f>IF(J46="","W CH-R2-06",IF(J46=F49,E49&amp;"",IF(J46=F50,E50&amp;"","W CH-R2-06")))</f>
        <v>Team 6</v>
      </c>
      <c r="J46" s="37" t="s">
        <v>115</v>
      </c>
      <c r="K46" s="34"/>
      <c r="L46" s="4"/>
      <c r="M46" s="4"/>
      <c r="N46" s="4"/>
      <c r="O46" s="34"/>
      <c r="P46" s="4"/>
      <c r="Q46" s="4"/>
      <c r="R46" s="4"/>
      <c r="S46" s="4"/>
      <c r="T46" s="4"/>
      <c r="U46" s="4"/>
      <c r="V46" s="4"/>
    </row>
    <row r="47" ht="16.5" customHeight="1">
      <c r="A47" s="29" t="s">
        <v>82</v>
      </c>
      <c r="B47" s="30" t="s">
        <v>127</v>
      </c>
      <c r="C47" s="31"/>
      <c r="D47" s="4"/>
      <c r="E47" s="4"/>
      <c r="F47" s="4"/>
      <c r="G47" s="34"/>
      <c r="H47" s="4"/>
      <c r="I47" s="4"/>
      <c r="J47" s="4"/>
      <c r="K47" s="34"/>
      <c r="L47" s="4"/>
      <c r="M47" s="4"/>
      <c r="N47" s="4"/>
      <c r="O47" s="34"/>
      <c r="P47" s="4"/>
      <c r="Q47" s="4"/>
      <c r="R47" s="4"/>
      <c r="S47" s="4"/>
      <c r="T47" s="4"/>
      <c r="U47" s="4"/>
      <c r="V47" s="4"/>
    </row>
    <row r="48" ht="16.5" customHeight="1">
      <c r="A48" s="32" t="s">
        <v>71</v>
      </c>
      <c r="B48" s="33" t="s">
        <v>128</v>
      </c>
      <c r="C48" s="34"/>
      <c r="D48" s="4"/>
      <c r="E48" s="27" t="s">
        <v>129</v>
      </c>
      <c r="F48" s="28"/>
      <c r="G48" s="34"/>
      <c r="H48" s="4"/>
      <c r="I48" s="4"/>
      <c r="J48" s="4"/>
      <c r="K48" s="34"/>
      <c r="L48" s="4"/>
      <c r="M48" s="4"/>
      <c r="N48" s="4"/>
      <c r="O48" s="34"/>
      <c r="P48" s="4"/>
      <c r="Q48" s="4"/>
      <c r="R48" s="4"/>
      <c r="S48" s="4"/>
      <c r="T48" s="4"/>
      <c r="U48" s="4"/>
      <c r="V48" s="4"/>
    </row>
    <row r="49" ht="16.5" customHeight="1">
      <c r="A49" s="4"/>
      <c r="B49" s="4"/>
      <c r="C49" s="4"/>
      <c r="D49" s="36"/>
      <c r="E49" s="29" t="str">
        <f>IF(F49="","W CH-R1-10",IF(F49=B47,A47&amp;"",IF(F49=B48,A48&amp;"","W CH-R1-10")))</f>
        <v>Team 2</v>
      </c>
      <c r="F49" s="38" t="s">
        <v>128</v>
      </c>
      <c r="G49" s="39"/>
      <c r="H49" s="4"/>
      <c r="I49" s="4"/>
      <c r="J49" s="4"/>
      <c r="K49" s="34"/>
      <c r="L49" s="4"/>
      <c r="M49" s="4"/>
      <c r="N49" s="4"/>
      <c r="O49" s="34"/>
      <c r="P49" s="4"/>
      <c r="Q49" s="4"/>
      <c r="R49" s="4"/>
      <c r="S49" s="4"/>
      <c r="T49" s="4"/>
      <c r="U49" s="4"/>
      <c r="V49" s="4"/>
    </row>
    <row r="50" ht="16.5" customHeight="1">
      <c r="A50" s="27" t="s">
        <v>131</v>
      </c>
      <c r="B50" s="28"/>
      <c r="C50" s="34"/>
      <c r="D50" s="36"/>
      <c r="E50" s="32" t="str">
        <f>IF(F50="","W CH-R1-11",IF(F50=B51,A51&amp;"",IF(F50=B52,A52&amp;"","W CH-R1-11")))</f>
        <v>Team 6</v>
      </c>
      <c r="F50" s="37" t="s">
        <v>115</v>
      </c>
      <c r="G50" s="4"/>
      <c r="H50" s="4"/>
      <c r="I50" s="4"/>
      <c r="J50" s="4"/>
      <c r="K50" s="34"/>
      <c r="L50" s="4"/>
      <c r="M50" s="4"/>
      <c r="N50" s="4"/>
      <c r="O50" s="34"/>
      <c r="P50" s="4"/>
      <c r="Q50" s="4"/>
      <c r="R50" s="4"/>
      <c r="S50" s="4"/>
      <c r="T50" s="4"/>
      <c r="U50" s="4"/>
      <c r="V50" s="4"/>
    </row>
    <row r="51" ht="16.5" customHeight="1">
      <c r="A51" s="29" t="s">
        <v>66</v>
      </c>
      <c r="B51" s="30" t="s">
        <v>115</v>
      </c>
      <c r="C51" s="39"/>
      <c r="D51" s="4"/>
      <c r="E51" s="4"/>
      <c r="F51" s="4"/>
      <c r="G51" s="4"/>
      <c r="H51" s="4"/>
      <c r="I51" s="4"/>
      <c r="J51" s="4"/>
      <c r="K51" s="34"/>
      <c r="L51" s="4"/>
      <c r="M51" s="4"/>
      <c r="N51" s="4"/>
      <c r="O51" s="34"/>
      <c r="P51" s="4"/>
      <c r="Q51" s="4"/>
      <c r="R51" s="4"/>
      <c r="S51" s="4"/>
      <c r="T51" s="4"/>
      <c r="U51" s="4"/>
      <c r="V51" s="4"/>
    </row>
    <row r="52" ht="16.5" customHeight="1">
      <c r="A52" s="32" t="s">
        <v>77</v>
      </c>
      <c r="B52" s="33" t="s">
        <v>132</v>
      </c>
      <c r="C52" s="4"/>
      <c r="D52" s="4"/>
      <c r="E52" s="4"/>
      <c r="F52" s="4"/>
      <c r="G52" s="4"/>
      <c r="H52" s="4"/>
      <c r="I52" s="4"/>
      <c r="J52" s="4"/>
      <c r="K52" s="34"/>
      <c r="L52" s="4"/>
      <c r="M52" s="27" t="s">
        <v>133</v>
      </c>
      <c r="N52" s="28"/>
      <c r="O52" s="34"/>
      <c r="P52" s="4"/>
      <c r="Q52" s="4"/>
      <c r="R52" s="4"/>
      <c r="S52" s="4"/>
      <c r="T52" s="4"/>
      <c r="U52" s="4"/>
      <c r="V52" s="4"/>
    </row>
    <row r="53" ht="16.5" customHeight="1">
      <c r="A53" s="4"/>
      <c r="B53" s="4"/>
      <c r="C53" s="4"/>
      <c r="D53" s="4"/>
      <c r="E53" s="4"/>
      <c r="F53" s="4"/>
      <c r="G53" s="4"/>
      <c r="H53" s="4"/>
      <c r="I53" s="4"/>
      <c r="J53" s="4"/>
      <c r="K53" s="4"/>
      <c r="L53" s="36"/>
      <c r="M53" s="29" t="str">
        <f>IF(N53="","W CH-R3-03",IF(N53=J45,I45&amp;"",IF(N53=J46,I46&amp;"","W CH-R3-03")))</f>
        <v>Team 6</v>
      </c>
      <c r="N53" s="38" t="s">
        <v>115</v>
      </c>
      <c r="O53" s="39"/>
      <c r="P53" s="4"/>
      <c r="Q53" s="4"/>
      <c r="R53" s="4"/>
      <c r="S53" s="4"/>
      <c r="T53" s="4"/>
      <c r="U53" s="4"/>
      <c r="V53" s="4"/>
    </row>
    <row r="54" ht="16.5" customHeight="1">
      <c r="A54" s="27" t="s">
        <v>134</v>
      </c>
      <c r="B54" s="28"/>
      <c r="C54" s="4"/>
      <c r="D54" s="4"/>
      <c r="E54" s="4"/>
      <c r="F54" s="4"/>
      <c r="G54" s="4"/>
      <c r="H54" s="4"/>
      <c r="I54" s="4"/>
      <c r="J54" s="4"/>
      <c r="K54" s="34"/>
      <c r="L54" s="36"/>
      <c r="M54" s="32" t="str">
        <f>IF(N54="","W CH-R3-04",IF(N54=J61,I61&amp;"",IF(N54=J62,I62&amp;"","W CH-R3-04")))</f>
        <v>Team 5</v>
      </c>
      <c r="N54" s="37" t="s">
        <v>135</v>
      </c>
      <c r="O54" s="4"/>
      <c r="P54" s="4"/>
      <c r="Q54" s="4"/>
      <c r="R54" s="4"/>
      <c r="S54" s="4"/>
      <c r="T54" s="4"/>
      <c r="U54" s="4"/>
      <c r="V54" s="4"/>
    </row>
    <row r="55" ht="16.5" customHeight="1">
      <c r="A55" s="29" t="s">
        <v>68</v>
      </c>
      <c r="B55" s="30" t="s">
        <v>136</v>
      </c>
      <c r="C55" s="31"/>
      <c r="D55" s="4"/>
      <c r="E55" s="4"/>
      <c r="F55" s="4"/>
      <c r="G55" s="4"/>
      <c r="H55" s="4"/>
      <c r="I55" s="4"/>
      <c r="J55" s="4"/>
      <c r="K55" s="34"/>
      <c r="L55" s="4"/>
      <c r="M55" s="4"/>
      <c r="N55" s="4"/>
      <c r="O55" s="4"/>
      <c r="P55" s="4"/>
      <c r="Q55" s="4"/>
      <c r="R55" s="4"/>
      <c r="S55" s="4"/>
      <c r="T55" s="4"/>
      <c r="U55" s="4"/>
      <c r="V55" s="4"/>
    </row>
    <row r="56" ht="16.5" customHeight="1">
      <c r="A56" s="32" t="s">
        <v>86</v>
      </c>
      <c r="B56" s="33" t="s">
        <v>137</v>
      </c>
      <c r="C56" s="34"/>
      <c r="D56" s="4"/>
      <c r="E56" s="27" t="s">
        <v>138</v>
      </c>
      <c r="F56" s="28"/>
      <c r="G56" s="4"/>
      <c r="H56" s="4"/>
      <c r="I56" s="4"/>
      <c r="J56" s="4"/>
      <c r="K56" s="34"/>
      <c r="L56" s="4"/>
      <c r="M56" s="4"/>
      <c r="N56" s="4"/>
      <c r="O56" s="4"/>
      <c r="P56" s="4"/>
      <c r="Q56" s="4"/>
      <c r="R56" s="4"/>
      <c r="S56" s="4"/>
      <c r="T56" s="4"/>
      <c r="U56" s="4"/>
      <c r="V56" s="4"/>
    </row>
    <row r="57" ht="16.5" customHeight="1">
      <c r="A57" s="4"/>
      <c r="B57" s="4"/>
      <c r="C57" s="4"/>
      <c r="D57" s="36"/>
      <c r="E57" s="29" t="str">
        <f>IF(F57="","W CH-R1-12",IF(F57=B55,A55&amp;"",IF(F57=B56,A56&amp;"","W CH-R1-12")))</f>
        <v>Team 1</v>
      </c>
      <c r="F57" s="38" t="s">
        <v>136</v>
      </c>
      <c r="G57" s="31"/>
      <c r="H57" s="4"/>
      <c r="I57" s="4"/>
      <c r="J57" s="4"/>
      <c r="K57" s="34"/>
      <c r="L57" s="4"/>
      <c r="M57" s="4"/>
      <c r="N57" s="4"/>
      <c r="O57" s="4"/>
      <c r="P57" s="4"/>
      <c r="Q57" s="4"/>
      <c r="R57" s="4"/>
      <c r="S57" s="4"/>
      <c r="T57" s="4"/>
      <c r="U57" s="4"/>
      <c r="V57" s="4"/>
    </row>
    <row r="58" ht="16.5" customHeight="1">
      <c r="A58" s="27" t="s">
        <v>139</v>
      </c>
      <c r="B58" s="28"/>
      <c r="C58" s="34"/>
      <c r="D58" s="36"/>
      <c r="E58" s="32" t="str">
        <f>IF(F58="","W CH-R1-13",IF(F58=B59,A59&amp;"",IF(F58=B60,A60&amp;"","W CH-R1-13")))</f>
        <v>Team 4</v>
      </c>
      <c r="F58" s="37" t="s">
        <v>140</v>
      </c>
      <c r="G58" s="34"/>
      <c r="H58" s="4"/>
      <c r="I58" s="4"/>
      <c r="J58" s="4"/>
      <c r="K58" s="34"/>
      <c r="L58" s="4"/>
      <c r="M58" s="4"/>
      <c r="N58" s="4"/>
      <c r="O58" s="4"/>
      <c r="P58" s="4"/>
      <c r="Q58" s="4"/>
      <c r="R58" s="4"/>
      <c r="S58" s="4"/>
      <c r="T58" s="4"/>
      <c r="U58" s="4"/>
      <c r="V58" s="4"/>
    </row>
    <row r="59" ht="16.5" customHeight="1">
      <c r="A59" s="29" t="s">
        <v>71</v>
      </c>
      <c r="B59" s="30" t="s">
        <v>141</v>
      </c>
      <c r="C59" s="39"/>
      <c r="D59" s="4"/>
      <c r="E59" s="4"/>
      <c r="F59" s="4"/>
      <c r="G59" s="34"/>
      <c r="H59" s="4"/>
      <c r="I59" s="4"/>
      <c r="J59" s="4"/>
      <c r="K59" s="34"/>
      <c r="L59" s="4"/>
      <c r="M59" s="4"/>
      <c r="N59" s="4"/>
      <c r="O59" s="4"/>
      <c r="P59" s="4"/>
      <c r="Q59" s="4"/>
      <c r="R59" s="4"/>
      <c r="S59" s="4"/>
      <c r="T59" s="4"/>
      <c r="U59" s="4"/>
      <c r="V59" s="4"/>
    </row>
    <row r="60" ht="16.5" customHeight="1">
      <c r="A60" s="32" t="s">
        <v>82</v>
      </c>
      <c r="B60" s="33" t="s">
        <v>140</v>
      </c>
      <c r="C60" s="4"/>
      <c r="D60" s="4"/>
      <c r="E60" s="4"/>
      <c r="F60" s="4"/>
      <c r="G60" s="34"/>
      <c r="H60" s="4"/>
      <c r="I60" s="27" t="s">
        <v>142</v>
      </c>
      <c r="J60" s="28"/>
      <c r="K60" s="34"/>
      <c r="L60" s="4"/>
      <c r="M60" s="4"/>
      <c r="N60" s="4"/>
      <c r="O60" s="4"/>
      <c r="P60" s="4"/>
      <c r="Q60" s="4"/>
      <c r="R60" s="4"/>
      <c r="S60" s="4"/>
      <c r="T60" s="4"/>
      <c r="U60" s="4"/>
      <c r="V60" s="4"/>
    </row>
    <row r="61" ht="16.5" customHeight="1">
      <c r="A61" s="4"/>
      <c r="B61" s="4"/>
      <c r="C61" s="4"/>
      <c r="D61" s="4"/>
      <c r="E61" s="4"/>
      <c r="F61" s="4"/>
      <c r="G61" s="4"/>
      <c r="H61" s="36"/>
      <c r="I61" s="29" t="str">
        <f>IF(J61="","W CH-R2-07",IF(J61=F57,E57&amp;"",IF(J61=F58,E58&amp;"","W CH-R2-07")))</f>
        <v>Team 4</v>
      </c>
      <c r="J61" s="38" t="s">
        <v>140</v>
      </c>
      <c r="K61" s="39"/>
      <c r="L61" s="4"/>
      <c r="M61" s="4"/>
      <c r="N61" s="4"/>
      <c r="O61" s="4"/>
      <c r="P61" s="4"/>
      <c r="Q61" s="4"/>
      <c r="R61" s="4"/>
      <c r="S61" s="4"/>
      <c r="T61" s="4"/>
      <c r="U61" s="4"/>
      <c r="V61" s="4"/>
    </row>
    <row r="62" ht="16.5" customHeight="1">
      <c r="A62" s="27" t="s">
        <v>144</v>
      </c>
      <c r="B62" s="28"/>
      <c r="C62" s="4"/>
      <c r="D62" s="4"/>
      <c r="E62" s="4"/>
      <c r="F62" s="4"/>
      <c r="G62" s="34"/>
      <c r="H62" s="36"/>
      <c r="I62" s="32" t="str">
        <f>IF(J62="","W CH-R2-08",IF(J62=F65,E65&amp;"",IF(J62=F66,E66&amp;"","W CH-R2-08")))</f>
        <v>Team 5</v>
      </c>
      <c r="J62" s="37" t="s">
        <v>135</v>
      </c>
      <c r="K62" s="4"/>
      <c r="L62" s="4"/>
      <c r="M62" s="4"/>
      <c r="N62" s="4"/>
      <c r="O62" s="4"/>
      <c r="P62" s="4"/>
      <c r="Q62" s="4"/>
      <c r="R62" s="4"/>
      <c r="S62" s="4"/>
      <c r="T62" s="4"/>
      <c r="U62" s="4"/>
      <c r="V62" s="4"/>
    </row>
    <row r="63" ht="16.5" customHeight="1">
      <c r="A63" s="29" t="s">
        <v>71</v>
      </c>
      <c r="B63" s="30" t="s">
        <v>146</v>
      </c>
      <c r="C63" s="31"/>
      <c r="D63" s="4"/>
      <c r="E63" s="4"/>
      <c r="F63" s="4"/>
      <c r="G63" s="34"/>
      <c r="H63" s="4"/>
      <c r="I63" s="4"/>
      <c r="J63" s="4"/>
      <c r="K63" s="4"/>
      <c r="L63" s="4"/>
      <c r="M63" s="4"/>
      <c r="N63" s="4"/>
      <c r="O63" s="4"/>
      <c r="P63" s="4"/>
      <c r="Q63" s="4"/>
      <c r="R63" s="4"/>
      <c r="S63" s="4"/>
      <c r="T63" s="4"/>
      <c r="U63" s="4"/>
      <c r="V63" s="4"/>
    </row>
    <row r="64" ht="16.5" customHeight="1">
      <c r="A64" s="32" t="s">
        <v>86</v>
      </c>
      <c r="B64" s="33" t="s">
        <v>148</v>
      </c>
      <c r="C64" s="34"/>
      <c r="D64" s="4"/>
      <c r="E64" s="27" t="s">
        <v>149</v>
      </c>
      <c r="F64" s="28"/>
      <c r="G64" s="34"/>
      <c r="H64" s="4"/>
      <c r="I64" s="4"/>
      <c r="J64" s="4"/>
      <c r="K64" s="4"/>
      <c r="L64" s="4"/>
      <c r="M64" s="4"/>
      <c r="N64" s="4"/>
      <c r="O64" s="4"/>
      <c r="P64" s="4"/>
      <c r="Q64" s="4"/>
      <c r="R64" s="4"/>
      <c r="S64" s="4"/>
      <c r="T64" s="4"/>
      <c r="U64" s="4"/>
      <c r="V64" s="4"/>
    </row>
    <row r="65" ht="16.5" customHeight="1">
      <c r="A65" s="4"/>
      <c r="B65" s="4"/>
      <c r="C65" s="4"/>
      <c r="D65" s="36"/>
      <c r="E65" s="29" t="str">
        <f>IF(F65="","W CH-R1-14",IF(F65=B63,A63&amp;"",IF(F65=B64,A64&amp;"","W CH-R1-14")))</f>
        <v>Team 2</v>
      </c>
      <c r="F65" s="38" t="s">
        <v>146</v>
      </c>
      <c r="G65" s="39"/>
      <c r="H65" s="4"/>
      <c r="I65" s="4"/>
      <c r="J65" s="4"/>
      <c r="K65" s="4"/>
      <c r="L65" s="4"/>
      <c r="M65" s="4"/>
      <c r="N65" s="4"/>
      <c r="O65" s="4"/>
      <c r="P65" s="4"/>
      <c r="Q65" s="4"/>
      <c r="R65" s="4"/>
      <c r="S65" s="4"/>
      <c r="T65" s="4"/>
      <c r="U65" s="4"/>
      <c r="V65" s="4"/>
    </row>
    <row r="66" ht="16.5" customHeight="1">
      <c r="A66" s="27" t="s">
        <v>150</v>
      </c>
      <c r="B66" s="28"/>
      <c r="C66" s="34"/>
      <c r="D66" s="36"/>
      <c r="E66" s="32" t="str">
        <f>IF(F66="","W CH-R1-15",IF(F66=B67,A67&amp;"",IF(F66=B68,A68&amp;"","W CH-R1-15")))</f>
        <v>Team 5</v>
      </c>
      <c r="F66" s="37" t="s">
        <v>135</v>
      </c>
      <c r="G66" s="4"/>
      <c r="H66" s="4"/>
      <c r="I66" s="4"/>
      <c r="J66" s="4"/>
      <c r="K66" s="4"/>
      <c r="L66" s="4"/>
      <c r="M66" s="4"/>
      <c r="N66" s="4"/>
      <c r="O66" s="4"/>
      <c r="P66" s="4"/>
      <c r="Q66" s="4"/>
      <c r="R66" s="4"/>
      <c r="S66" s="4"/>
      <c r="T66" s="4"/>
      <c r="U66" s="4"/>
      <c r="V66" s="4"/>
    </row>
    <row r="67" ht="16.5" customHeight="1">
      <c r="A67" s="29" t="s">
        <v>86</v>
      </c>
      <c r="B67" s="30" t="s">
        <v>135</v>
      </c>
      <c r="C67" s="39"/>
      <c r="D67" s="4"/>
      <c r="E67" s="4"/>
      <c r="F67" s="4"/>
      <c r="G67" s="4"/>
      <c r="H67" s="4"/>
      <c r="I67" s="4"/>
      <c r="J67" s="4"/>
      <c r="K67" s="4"/>
      <c r="L67" s="4"/>
      <c r="M67" s="4"/>
      <c r="N67" s="4"/>
      <c r="O67" s="4"/>
      <c r="P67" s="4"/>
      <c r="Q67" s="4"/>
      <c r="R67" s="4"/>
      <c r="S67" s="4"/>
      <c r="T67" s="4"/>
      <c r="U67" s="4"/>
      <c r="V67" s="4"/>
    </row>
    <row r="68" ht="16.5" customHeight="1">
      <c r="A68" s="32" t="s">
        <v>66</v>
      </c>
      <c r="B68" s="33" t="s">
        <v>153</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239</v>
      </c>
      <c r="B1" s="2"/>
      <c r="C1" s="2"/>
      <c r="D1" s="2"/>
      <c r="E1" s="2"/>
      <c r="F1" s="2"/>
      <c r="G1" s="2"/>
      <c r="H1" s="2"/>
      <c r="I1" s="2"/>
      <c r="J1" s="2"/>
      <c r="K1" s="2"/>
      <c r="L1" s="2"/>
      <c r="M1" s="2"/>
      <c r="N1" s="2"/>
      <c r="O1" s="2"/>
      <c r="P1" s="2"/>
      <c r="Q1" s="2"/>
      <c r="R1" s="2"/>
      <c r="S1" s="2"/>
      <c r="T1" s="2"/>
      <c r="U1" s="2"/>
      <c r="V1" s="2"/>
    </row>
    <row r="2">
      <c r="A2" s="3" t="s">
        <v>56</v>
      </c>
    </row>
    <row r="3">
      <c r="A3" s="4"/>
      <c r="B3" s="4"/>
      <c r="C3" s="4"/>
      <c r="D3" s="4"/>
      <c r="E3" s="4"/>
      <c r="F3" s="4"/>
      <c r="G3" s="4"/>
      <c r="H3" s="4"/>
      <c r="I3" s="4"/>
      <c r="J3" s="4"/>
      <c r="K3" s="4"/>
      <c r="L3" s="4"/>
      <c r="M3" s="4"/>
      <c r="N3" s="4"/>
      <c r="O3" s="4"/>
      <c r="P3" s="4"/>
      <c r="Q3" s="4"/>
      <c r="R3" s="4"/>
      <c r="S3" s="4"/>
      <c r="T3" s="4"/>
      <c r="U3" s="4"/>
      <c r="V3" s="4"/>
    </row>
    <row r="4" ht="19.5" customHeight="1">
      <c r="A4" s="22" t="s">
        <v>50</v>
      </c>
      <c r="B4" s="2"/>
      <c r="C4" s="4"/>
      <c r="D4" s="4"/>
      <c r="E4" s="22" t="s">
        <v>57</v>
      </c>
      <c r="F4" s="2"/>
      <c r="G4" s="4"/>
      <c r="H4" s="4"/>
      <c r="I4" s="22" t="s">
        <v>58</v>
      </c>
      <c r="J4" s="2"/>
      <c r="K4" s="4"/>
      <c r="L4" s="4"/>
      <c r="M4" s="22" t="s">
        <v>59</v>
      </c>
      <c r="N4" s="2"/>
      <c r="O4" s="4"/>
      <c r="P4" s="4"/>
      <c r="Q4" s="22" t="s">
        <v>8</v>
      </c>
      <c r="R4" s="2"/>
      <c r="S4" s="4"/>
      <c r="T4" s="4"/>
      <c r="U4" s="23" t="s">
        <v>9</v>
      </c>
      <c r="V4" s="24"/>
    </row>
    <row r="5">
      <c r="A5" s="25" t="s">
        <v>243</v>
      </c>
      <c r="B5" s="2"/>
      <c r="C5" s="4"/>
      <c r="D5" s="4"/>
      <c r="E5" s="25" t="s">
        <v>244</v>
      </c>
      <c r="F5" s="2"/>
      <c r="G5" s="4"/>
      <c r="H5" s="4"/>
      <c r="I5" s="25" t="s">
        <v>245</v>
      </c>
      <c r="J5" s="2"/>
      <c r="K5" s="4"/>
      <c r="L5" s="4"/>
      <c r="M5" s="25" t="s">
        <v>246</v>
      </c>
      <c r="N5" s="2"/>
      <c r="O5" s="4"/>
      <c r="P5" s="4"/>
      <c r="Q5" s="25" t="s">
        <v>64</v>
      </c>
      <c r="R5" s="2"/>
      <c r="S5" s="4"/>
      <c r="T5" s="4"/>
      <c r="U5" s="26"/>
    </row>
    <row r="6" ht="16.5" customHeight="1">
      <c r="A6" s="27" t="s">
        <v>249</v>
      </c>
      <c r="B6" s="28"/>
      <c r="C6" s="4"/>
      <c r="D6" s="4"/>
      <c r="E6" s="4"/>
      <c r="F6" s="4"/>
      <c r="G6" s="4"/>
      <c r="H6" s="4"/>
      <c r="I6" s="4"/>
      <c r="J6" s="4"/>
      <c r="K6" s="4"/>
      <c r="L6" s="4"/>
      <c r="M6" s="4"/>
      <c r="N6" s="4"/>
      <c r="O6" s="4"/>
      <c r="P6" s="4"/>
      <c r="Q6" s="4"/>
      <c r="R6" s="4"/>
      <c r="S6" s="4"/>
      <c r="T6" s="4"/>
      <c r="U6" s="4"/>
      <c r="V6" s="4"/>
    </row>
    <row r="7" ht="16.5" customHeight="1">
      <c r="A7" s="29" t="s">
        <v>66</v>
      </c>
      <c r="B7" s="30" t="s">
        <v>250</v>
      </c>
      <c r="C7" s="31"/>
      <c r="D7" s="4"/>
      <c r="E7" s="4"/>
      <c r="F7" s="4"/>
      <c r="G7" s="4"/>
      <c r="H7" s="4"/>
      <c r="I7" s="4"/>
      <c r="J7" s="4"/>
      <c r="K7" s="4"/>
      <c r="L7" s="4"/>
      <c r="M7" s="4"/>
      <c r="N7" s="4"/>
      <c r="O7" s="4"/>
      <c r="P7" s="4"/>
      <c r="Q7" s="4"/>
      <c r="R7" s="4"/>
      <c r="S7" s="4"/>
      <c r="T7" s="4"/>
      <c r="U7" s="4"/>
      <c r="V7" s="4"/>
    </row>
    <row r="8" ht="16.5" customHeight="1">
      <c r="A8" s="32" t="s">
        <v>68</v>
      </c>
      <c r="B8" s="33" t="s">
        <v>252</v>
      </c>
      <c r="C8" s="34"/>
      <c r="D8" s="4"/>
      <c r="E8" s="27" t="s">
        <v>253</v>
      </c>
      <c r="F8" s="28"/>
      <c r="G8" s="4"/>
      <c r="H8" s="4"/>
      <c r="I8" s="4"/>
      <c r="J8" s="4"/>
      <c r="K8" s="4"/>
      <c r="L8" s="4"/>
      <c r="M8" s="4"/>
      <c r="N8" s="4"/>
      <c r="O8" s="4"/>
      <c r="P8" s="4"/>
      <c r="Q8" s="4"/>
      <c r="R8" s="4"/>
      <c r="S8" s="4"/>
      <c r="T8" s="4"/>
      <c r="U8" s="4"/>
      <c r="V8" s="4"/>
    </row>
    <row r="9" ht="16.5" customHeight="1">
      <c r="A9" s="4"/>
      <c r="B9" s="4"/>
      <c r="C9" s="34"/>
      <c r="D9" s="4"/>
      <c r="E9" s="35" t="s">
        <v>77</v>
      </c>
      <c r="F9" s="30" t="s">
        <v>254</v>
      </c>
      <c r="G9" s="31"/>
      <c r="H9" s="4"/>
      <c r="I9" s="4"/>
      <c r="J9" s="4"/>
      <c r="K9" s="4"/>
      <c r="L9" s="4"/>
      <c r="M9" s="4"/>
      <c r="N9" s="4"/>
      <c r="O9" s="4"/>
      <c r="P9" s="4"/>
      <c r="Q9" s="4"/>
      <c r="R9" s="4"/>
      <c r="S9" s="4"/>
      <c r="T9" s="4"/>
      <c r="U9" s="4"/>
      <c r="V9" s="4"/>
    </row>
    <row r="10" ht="16.5" customHeight="1">
      <c r="A10" s="4"/>
      <c r="B10" s="4"/>
      <c r="C10" s="4"/>
      <c r="D10" s="36"/>
      <c r="E10" s="32" t="str">
        <f>IF(F10="","W CR-R1-01",IF(F10=B7,A7&amp;"",IF(F10=B8,A8&amp;"","W CR-R1-01")))</f>
        <v>Team 6</v>
      </c>
      <c r="F10" s="37" t="s">
        <v>250</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7" t="s">
        <v>259</v>
      </c>
      <c r="J12" s="28"/>
      <c r="K12" s="4"/>
      <c r="L12" s="4"/>
      <c r="M12" s="4"/>
      <c r="N12" s="4"/>
      <c r="O12" s="4"/>
      <c r="P12" s="4"/>
      <c r="Q12" s="4"/>
      <c r="R12" s="4"/>
      <c r="S12" s="4"/>
      <c r="T12" s="4"/>
      <c r="U12" s="4"/>
      <c r="V12" s="4"/>
    </row>
    <row r="13" ht="16.5" customHeight="1">
      <c r="A13" s="4"/>
      <c r="B13" s="4"/>
      <c r="C13" s="4"/>
      <c r="D13" s="4"/>
      <c r="E13" s="4"/>
      <c r="F13" s="4"/>
      <c r="G13" s="4"/>
      <c r="H13" s="36"/>
      <c r="I13" s="29" t="str">
        <f>IF(J13="","W CR-R2-01",IF(J13=F9,E9&amp;"",IF(J13=F10,E10&amp;"","W CR-R2-01")))</f>
        <v>Team 6</v>
      </c>
      <c r="J13" s="38" t="s">
        <v>250</v>
      </c>
      <c r="K13" s="31"/>
      <c r="L13" s="4"/>
      <c r="M13" s="4"/>
      <c r="N13" s="4"/>
      <c r="O13" s="4"/>
      <c r="P13" s="4"/>
      <c r="Q13" s="4"/>
      <c r="R13" s="4"/>
      <c r="S13" s="4"/>
      <c r="T13" s="4"/>
      <c r="U13" s="4"/>
      <c r="V13" s="4"/>
    </row>
    <row r="14" ht="16.5" customHeight="1">
      <c r="A14" s="27" t="s">
        <v>263</v>
      </c>
      <c r="B14" s="28"/>
      <c r="C14" s="4"/>
      <c r="D14" s="4"/>
      <c r="E14" s="4"/>
      <c r="F14" s="4"/>
      <c r="G14" s="34"/>
      <c r="H14" s="36"/>
      <c r="I14" s="32" t="str">
        <f>IF(J14="","W CR-R2-02",IF(J14=F17,E17&amp;"",IF(J14=F18,E18&amp;"","W CR-R2-02")))</f>
        <v>Team 3</v>
      </c>
      <c r="J14" s="37" t="s">
        <v>265</v>
      </c>
      <c r="K14" s="34"/>
      <c r="L14" s="4"/>
      <c r="M14" s="4"/>
      <c r="N14" s="4"/>
      <c r="O14" s="4"/>
      <c r="P14" s="4"/>
      <c r="Q14" s="4"/>
      <c r="R14" s="4"/>
      <c r="S14" s="4"/>
      <c r="T14" s="4"/>
      <c r="U14" s="4"/>
      <c r="V14" s="4"/>
    </row>
    <row r="15" ht="16.5" customHeight="1">
      <c r="A15" s="29" t="s">
        <v>68</v>
      </c>
      <c r="B15" s="30" t="s">
        <v>267</v>
      </c>
      <c r="C15" s="31"/>
      <c r="D15" s="4"/>
      <c r="E15" s="4"/>
      <c r="F15" s="4"/>
      <c r="G15" s="34"/>
      <c r="H15" s="4"/>
      <c r="I15" s="4"/>
      <c r="J15" s="4"/>
      <c r="K15" s="34"/>
      <c r="L15" s="4"/>
      <c r="M15" s="4"/>
      <c r="N15" s="4"/>
      <c r="O15" s="4"/>
      <c r="P15" s="4"/>
      <c r="Q15" s="4"/>
      <c r="R15" s="4"/>
      <c r="S15" s="4"/>
      <c r="T15" s="4"/>
      <c r="U15" s="4"/>
      <c r="V15" s="4"/>
    </row>
    <row r="16" ht="16.5" customHeight="1">
      <c r="A16" s="32" t="s">
        <v>77</v>
      </c>
      <c r="B16" s="33" t="s">
        <v>265</v>
      </c>
      <c r="C16" s="34"/>
      <c r="D16" s="4"/>
      <c r="E16" s="27" t="s">
        <v>268</v>
      </c>
      <c r="F16" s="28"/>
      <c r="G16" s="34"/>
      <c r="H16" s="4"/>
      <c r="I16" s="4"/>
      <c r="J16" s="4"/>
      <c r="K16" s="34"/>
      <c r="L16" s="4"/>
      <c r="M16" s="4"/>
      <c r="N16" s="4"/>
      <c r="O16" s="4"/>
      <c r="P16" s="4"/>
      <c r="Q16" s="4"/>
      <c r="R16" s="4"/>
      <c r="S16" s="4"/>
      <c r="T16" s="4"/>
      <c r="U16" s="4"/>
      <c r="V16" s="4"/>
    </row>
    <row r="17" ht="16.5" customHeight="1">
      <c r="A17" s="4"/>
      <c r="B17" s="4"/>
      <c r="C17" s="4"/>
      <c r="D17" s="36"/>
      <c r="E17" s="29" t="str">
        <f>IF(F17="","W CR-R1-02",IF(F17=B15,A15&amp;"",IF(F17=B16,A16&amp;"","W CR-R1-02")))</f>
        <v>Team 3</v>
      </c>
      <c r="F17" s="38" t="s">
        <v>265</v>
      </c>
      <c r="G17" s="39"/>
      <c r="H17" s="4"/>
      <c r="I17" s="4"/>
      <c r="J17" s="4"/>
      <c r="K17" s="34"/>
      <c r="L17" s="4"/>
      <c r="M17" s="4"/>
      <c r="N17" s="4"/>
      <c r="O17" s="4"/>
      <c r="P17" s="4"/>
      <c r="Q17" s="4"/>
      <c r="R17" s="4"/>
      <c r="S17" s="4"/>
      <c r="T17" s="4"/>
      <c r="U17" s="4"/>
      <c r="V17" s="4"/>
    </row>
    <row r="18" ht="16.5" customHeight="1">
      <c r="A18" s="27" t="s">
        <v>277</v>
      </c>
      <c r="B18" s="28"/>
      <c r="C18" s="34"/>
      <c r="D18" s="36"/>
      <c r="E18" s="32" t="str">
        <f>IF(F18="","W CR-R1-03",IF(F18=B19,A19&amp;"",IF(F18=B20,A20&amp;"","W CR-R1-03")))</f>
        <v>Team 4</v>
      </c>
      <c r="F18" s="37" t="s">
        <v>315</v>
      </c>
      <c r="G18" s="4"/>
      <c r="H18" s="4"/>
      <c r="I18" s="4"/>
      <c r="J18" s="4"/>
      <c r="K18" s="34"/>
      <c r="L18" s="4"/>
      <c r="M18" s="4"/>
      <c r="N18" s="4"/>
      <c r="O18" s="4"/>
      <c r="P18" s="4"/>
      <c r="Q18" s="4"/>
      <c r="R18" s="4"/>
      <c r="S18" s="4"/>
      <c r="T18" s="4"/>
      <c r="U18" s="4"/>
      <c r="V18" s="4"/>
    </row>
    <row r="19" ht="16.5" customHeight="1">
      <c r="A19" s="29" t="s">
        <v>82</v>
      </c>
      <c r="B19" s="30" t="s">
        <v>315</v>
      </c>
      <c r="C19" s="39"/>
      <c r="D19" s="4"/>
      <c r="E19" s="4"/>
      <c r="F19" s="4"/>
      <c r="G19" s="4"/>
      <c r="H19" s="4"/>
      <c r="I19" s="4"/>
      <c r="J19" s="4"/>
      <c r="K19" s="34"/>
      <c r="L19" s="4"/>
      <c r="M19" s="4"/>
      <c r="N19" s="4"/>
      <c r="O19" s="4"/>
      <c r="P19" s="4"/>
      <c r="Q19" s="4"/>
      <c r="R19" s="4"/>
      <c r="S19" s="4"/>
      <c r="T19" s="4"/>
      <c r="U19" s="4"/>
      <c r="V19" s="4"/>
    </row>
    <row r="20" ht="16.5" customHeight="1">
      <c r="A20" s="32" t="s">
        <v>68</v>
      </c>
      <c r="B20" s="33" t="s">
        <v>321</v>
      </c>
      <c r="C20" s="4"/>
      <c r="D20" s="4"/>
      <c r="E20" s="4"/>
      <c r="F20" s="4"/>
      <c r="G20" s="4"/>
      <c r="H20" s="4"/>
      <c r="I20" s="4"/>
      <c r="J20" s="4"/>
      <c r="K20" s="34"/>
      <c r="L20" s="4"/>
      <c r="M20" s="27" t="s">
        <v>322</v>
      </c>
      <c r="N20" s="28"/>
      <c r="O20" s="4"/>
      <c r="P20" s="4"/>
      <c r="Q20" s="4"/>
      <c r="R20" s="4"/>
      <c r="S20" s="4"/>
      <c r="T20" s="4"/>
      <c r="U20" s="4"/>
      <c r="V20" s="4"/>
    </row>
    <row r="21" ht="16.5" customHeight="1">
      <c r="A21" s="4"/>
      <c r="B21" s="4"/>
      <c r="C21" s="4"/>
      <c r="D21" s="4"/>
      <c r="E21" s="4"/>
      <c r="F21" s="4"/>
      <c r="G21" s="4"/>
      <c r="H21" s="4"/>
      <c r="I21" s="4"/>
      <c r="J21" s="4"/>
      <c r="K21" s="4"/>
      <c r="L21" s="36"/>
      <c r="M21" s="29" t="str">
        <f>IF(N21="","W CR-R3-01",IF(N21=J13,I13&amp;"",IF(N21=J14,I14&amp;"","W CR-R3-01")))</f>
        <v>Team 3</v>
      </c>
      <c r="N21" s="38" t="s">
        <v>265</v>
      </c>
      <c r="O21" s="31"/>
      <c r="P21" s="4"/>
      <c r="Q21" s="4"/>
      <c r="R21" s="4"/>
      <c r="S21" s="4"/>
      <c r="T21" s="4"/>
      <c r="U21" s="4"/>
      <c r="V21" s="4"/>
    </row>
    <row r="22" ht="16.5" customHeight="1">
      <c r="A22" s="27" t="s">
        <v>390</v>
      </c>
      <c r="B22" s="28"/>
      <c r="C22" s="4"/>
      <c r="D22" s="4"/>
      <c r="E22" s="4"/>
      <c r="F22" s="4"/>
      <c r="G22" s="4"/>
      <c r="H22" s="4"/>
      <c r="I22" s="4"/>
      <c r="J22" s="4"/>
      <c r="K22" s="34"/>
      <c r="L22" s="36"/>
      <c r="M22" s="32" t="str">
        <f>IF(N22="","W CR-R3-02",IF(N22=J29,I29&amp;"",IF(N22=J30,I30&amp;"","W CR-R3-02")))</f>
        <v>Team 2</v>
      </c>
      <c r="N22" s="37" t="s">
        <v>391</v>
      </c>
      <c r="O22" s="34"/>
      <c r="P22" s="4"/>
      <c r="Q22" s="4"/>
      <c r="R22" s="4"/>
      <c r="S22" s="4"/>
      <c r="T22" s="4"/>
      <c r="U22" s="4"/>
      <c r="V22" s="4"/>
    </row>
    <row r="23" ht="16.5" customHeight="1">
      <c r="A23" s="29" t="s">
        <v>86</v>
      </c>
      <c r="B23" s="30" t="s">
        <v>392</v>
      </c>
      <c r="C23" s="31"/>
      <c r="D23" s="4"/>
      <c r="E23" s="4"/>
      <c r="F23" s="4"/>
      <c r="G23" s="4"/>
      <c r="H23" s="4"/>
      <c r="I23" s="4"/>
      <c r="J23" s="4"/>
      <c r="K23" s="34"/>
      <c r="L23" s="4"/>
      <c r="M23" s="4"/>
      <c r="N23" s="4"/>
      <c r="O23" s="34"/>
      <c r="P23" s="4"/>
      <c r="Q23" s="4"/>
      <c r="R23" s="4"/>
      <c r="S23" s="4"/>
      <c r="T23" s="4"/>
      <c r="U23" s="4"/>
      <c r="V23" s="4"/>
    </row>
    <row r="24" ht="16.5" customHeight="1">
      <c r="A24" s="32" t="s">
        <v>68</v>
      </c>
      <c r="B24" s="33" t="s">
        <v>393</v>
      </c>
      <c r="C24" s="34"/>
      <c r="D24" s="4"/>
      <c r="E24" s="27" t="s">
        <v>394</v>
      </c>
      <c r="F24" s="28"/>
      <c r="G24" s="4"/>
      <c r="H24" s="4"/>
      <c r="I24" s="4"/>
      <c r="J24" s="4"/>
      <c r="K24" s="34"/>
      <c r="L24" s="4"/>
      <c r="M24" s="4"/>
      <c r="N24" s="4"/>
      <c r="O24" s="34"/>
      <c r="P24" s="4"/>
      <c r="Q24" s="4"/>
      <c r="R24" s="4"/>
      <c r="S24" s="4"/>
      <c r="T24" s="4"/>
      <c r="U24" s="4"/>
      <c r="V24" s="4"/>
    </row>
    <row r="25" ht="16.5" customHeight="1">
      <c r="A25" s="4"/>
      <c r="B25" s="4"/>
      <c r="C25" s="4"/>
      <c r="D25" s="36"/>
      <c r="E25" s="29" t="str">
        <f>IF(F25="","W CR-R1-04",IF(F25=B23,A23&amp;"",IF(F25=B24,A24&amp;"","W CR-R1-04")))</f>
        <v>Team 1</v>
      </c>
      <c r="F25" s="38" t="s">
        <v>393</v>
      </c>
      <c r="G25" s="31"/>
      <c r="H25" s="4"/>
      <c r="I25" s="4"/>
      <c r="J25" s="4"/>
      <c r="K25" s="34"/>
      <c r="L25" s="4"/>
      <c r="M25" s="4"/>
      <c r="N25" s="4"/>
      <c r="O25" s="34"/>
      <c r="P25" s="4"/>
      <c r="Q25" s="4"/>
      <c r="R25" s="4"/>
      <c r="S25" s="4"/>
      <c r="T25" s="4"/>
      <c r="U25" s="4"/>
      <c r="V25" s="4"/>
    </row>
    <row r="26" ht="16.5" customHeight="1">
      <c r="A26" s="27" t="s">
        <v>412</v>
      </c>
      <c r="B26" s="28"/>
      <c r="C26" s="34"/>
      <c r="D26" s="36"/>
      <c r="E26" s="32" t="str">
        <f>IF(F26="","W CR-R1-05",IF(F26=B27,A27&amp;"",IF(F26=B28,A28&amp;"","W CR-R1-05")))</f>
        <v>Team 5</v>
      </c>
      <c r="F26" s="37" t="s">
        <v>416</v>
      </c>
      <c r="G26" s="34"/>
      <c r="H26" s="4"/>
      <c r="I26" s="4"/>
      <c r="J26" s="4"/>
      <c r="K26" s="34"/>
      <c r="L26" s="4"/>
      <c r="M26" s="4"/>
      <c r="N26" s="4"/>
      <c r="O26" s="34"/>
      <c r="P26" s="4"/>
      <c r="Q26" s="4"/>
      <c r="R26" s="4"/>
      <c r="S26" s="4"/>
      <c r="T26" s="4"/>
      <c r="U26" s="4"/>
      <c r="V26" s="4"/>
    </row>
    <row r="27" ht="16.5" customHeight="1">
      <c r="A27" s="29" t="s">
        <v>71</v>
      </c>
      <c r="B27" s="30" t="s">
        <v>417</v>
      </c>
      <c r="C27" s="39"/>
      <c r="D27" s="4"/>
      <c r="E27" s="4"/>
      <c r="F27" s="4"/>
      <c r="G27" s="34"/>
      <c r="H27" s="4"/>
      <c r="I27" s="4"/>
      <c r="J27" s="4"/>
      <c r="K27" s="34"/>
      <c r="L27" s="4"/>
      <c r="M27" s="4"/>
      <c r="N27" s="4"/>
      <c r="O27" s="34"/>
      <c r="P27" s="4"/>
      <c r="Q27" s="4"/>
      <c r="R27" s="4"/>
      <c r="S27" s="4"/>
      <c r="T27" s="4"/>
      <c r="U27" s="4"/>
      <c r="V27" s="4"/>
    </row>
    <row r="28" ht="16.5" customHeight="1">
      <c r="A28" s="32" t="s">
        <v>86</v>
      </c>
      <c r="B28" s="33" t="s">
        <v>416</v>
      </c>
      <c r="C28" s="4"/>
      <c r="D28" s="4"/>
      <c r="E28" s="4"/>
      <c r="F28" s="4"/>
      <c r="G28" s="34"/>
      <c r="H28" s="4"/>
      <c r="I28" s="27" t="s">
        <v>422</v>
      </c>
      <c r="J28" s="28"/>
      <c r="K28" s="34"/>
      <c r="L28" s="4"/>
      <c r="M28" s="4"/>
      <c r="N28" s="4"/>
      <c r="O28" s="34"/>
      <c r="P28" s="4"/>
      <c r="Q28" s="4"/>
      <c r="R28" s="4"/>
      <c r="S28" s="4"/>
      <c r="T28" s="4"/>
      <c r="U28" s="4"/>
      <c r="V28" s="4"/>
    </row>
    <row r="29" ht="16.5" customHeight="1">
      <c r="A29" s="4"/>
      <c r="B29" s="4"/>
      <c r="C29" s="4"/>
      <c r="D29" s="4"/>
      <c r="E29" s="4"/>
      <c r="F29" s="4"/>
      <c r="G29" s="4"/>
      <c r="H29" s="36"/>
      <c r="I29" s="29" t="str">
        <f>IF(J29="","W CR-R2-03",IF(J29=F25,E25&amp;"",IF(J29=F26,E26&amp;"","W CR-R2-03")))</f>
        <v>Team 1</v>
      </c>
      <c r="J29" s="38" t="s">
        <v>393</v>
      </c>
      <c r="K29" s="39"/>
      <c r="L29" s="4"/>
      <c r="M29" s="4"/>
      <c r="N29" s="4"/>
      <c r="O29" s="34"/>
      <c r="P29" s="4"/>
      <c r="Q29" s="4"/>
      <c r="R29" s="4"/>
      <c r="S29" s="4"/>
      <c r="T29" s="4"/>
      <c r="U29" s="4"/>
      <c r="V29" s="4"/>
    </row>
    <row r="30" ht="16.5" customHeight="1">
      <c r="A30" s="27" t="s">
        <v>424</v>
      </c>
      <c r="B30" s="28"/>
      <c r="C30" s="4"/>
      <c r="D30" s="4"/>
      <c r="E30" s="4"/>
      <c r="F30" s="4"/>
      <c r="G30" s="34"/>
      <c r="H30" s="36"/>
      <c r="I30" s="32" t="str">
        <f>IF(J30="","W CR-R2-04",IF(J30=F33,E33&amp;"",IF(J30=F34,E34&amp;"","W CR-R2-04")))</f>
        <v>Team 2</v>
      </c>
      <c r="J30" s="37" t="s">
        <v>391</v>
      </c>
      <c r="K30" s="4"/>
      <c r="L30" s="4"/>
      <c r="M30" s="4"/>
      <c r="N30" s="4"/>
      <c r="O30" s="34"/>
      <c r="P30" s="4"/>
      <c r="Q30" s="4"/>
      <c r="R30" s="4"/>
      <c r="S30" s="4"/>
      <c r="T30" s="4"/>
      <c r="U30" s="4"/>
      <c r="V30" s="4"/>
    </row>
    <row r="31" ht="16.5" customHeight="1">
      <c r="A31" s="29" t="s">
        <v>66</v>
      </c>
      <c r="B31" s="30" t="s">
        <v>447</v>
      </c>
      <c r="C31" s="31"/>
      <c r="D31" s="4"/>
      <c r="E31" s="4"/>
      <c r="F31" s="4"/>
      <c r="G31" s="34"/>
      <c r="H31" s="4"/>
      <c r="I31" s="4"/>
      <c r="J31" s="4"/>
      <c r="K31" s="4"/>
      <c r="L31" s="4"/>
      <c r="M31" s="4"/>
      <c r="N31" s="4"/>
      <c r="O31" s="34"/>
      <c r="P31" s="4"/>
      <c r="Q31" s="4"/>
      <c r="R31" s="4"/>
      <c r="S31" s="4"/>
      <c r="T31" s="4"/>
      <c r="U31" s="4"/>
      <c r="V31" s="4"/>
    </row>
    <row r="32" ht="16.5" customHeight="1">
      <c r="A32" s="32" t="s">
        <v>71</v>
      </c>
      <c r="B32" s="33" t="s">
        <v>391</v>
      </c>
      <c r="C32" s="34"/>
      <c r="D32" s="4"/>
      <c r="E32" s="27" t="s">
        <v>451</v>
      </c>
      <c r="F32" s="28"/>
      <c r="G32" s="34"/>
      <c r="H32" s="4"/>
      <c r="I32" s="4"/>
      <c r="J32" s="4"/>
      <c r="K32" s="4"/>
      <c r="L32" s="4"/>
      <c r="M32" s="4"/>
      <c r="N32" s="4"/>
      <c r="O32" s="34"/>
      <c r="P32" s="4"/>
      <c r="Q32" s="4"/>
      <c r="R32" s="4"/>
      <c r="S32" s="4"/>
      <c r="T32" s="4"/>
      <c r="U32" s="4"/>
      <c r="V32" s="4"/>
    </row>
    <row r="33" ht="16.5" customHeight="1">
      <c r="A33" s="4"/>
      <c r="B33" s="4"/>
      <c r="C33" s="4"/>
      <c r="D33" s="36"/>
      <c r="E33" s="29" t="str">
        <f>IF(F33="","W CR-R1-06",IF(F33=B31,A31&amp;"",IF(F33=B32,A32&amp;"","W CR-R1-06")))</f>
        <v>Team 2</v>
      </c>
      <c r="F33" s="38" t="s">
        <v>391</v>
      </c>
      <c r="G33" s="39"/>
      <c r="H33" s="4"/>
      <c r="I33" s="4"/>
      <c r="J33" s="4"/>
      <c r="K33" s="4"/>
      <c r="L33" s="4"/>
      <c r="M33" s="4"/>
      <c r="N33" s="4"/>
      <c r="O33" s="34"/>
      <c r="P33" s="4"/>
      <c r="Q33" s="4"/>
      <c r="R33" s="4"/>
      <c r="S33" s="4"/>
      <c r="T33" s="4"/>
      <c r="U33" s="4"/>
      <c r="V33" s="4"/>
    </row>
    <row r="34" ht="16.5" customHeight="1">
      <c r="A34" s="27" t="s">
        <v>455</v>
      </c>
      <c r="B34" s="28"/>
      <c r="C34" s="34"/>
      <c r="D34" s="36"/>
      <c r="E34" s="32" t="str">
        <f>IF(F34="","W CR-R1-07",IF(F34=B35,A35&amp;"",IF(F34=B36,A36&amp;"","W CR-R1-07")))</f>
        <v>Team 2</v>
      </c>
      <c r="F34" s="37" t="s">
        <v>459</v>
      </c>
      <c r="G34" s="4"/>
      <c r="H34" s="4"/>
      <c r="I34" s="4"/>
      <c r="J34" s="4"/>
      <c r="K34" s="4"/>
      <c r="L34" s="4"/>
      <c r="M34" s="4"/>
      <c r="N34" s="4"/>
      <c r="O34" s="34"/>
      <c r="P34" s="4"/>
      <c r="Q34" s="4"/>
      <c r="R34" s="4"/>
      <c r="S34" s="4"/>
      <c r="T34" s="4"/>
      <c r="U34" s="4"/>
      <c r="V34" s="4"/>
    </row>
    <row r="35" ht="16.5" customHeight="1">
      <c r="A35" s="29" t="s">
        <v>71</v>
      </c>
      <c r="B35" s="30" t="s">
        <v>459</v>
      </c>
      <c r="C35" s="39"/>
      <c r="D35" s="4"/>
      <c r="E35" s="4"/>
      <c r="F35" s="4"/>
      <c r="G35" s="4"/>
      <c r="H35" s="4"/>
      <c r="I35" s="4"/>
      <c r="J35" s="4"/>
      <c r="K35" s="4"/>
      <c r="L35" s="4"/>
      <c r="M35" s="4"/>
      <c r="N35" s="4"/>
      <c r="O35" s="34"/>
      <c r="P35" s="4"/>
      <c r="Q35" s="4"/>
      <c r="R35" s="4"/>
      <c r="S35" s="4"/>
      <c r="T35" s="4"/>
      <c r="U35" s="4"/>
      <c r="V35" s="4"/>
    </row>
    <row r="36" ht="16.5" customHeight="1">
      <c r="A36" s="32" t="s">
        <v>66</v>
      </c>
      <c r="B36" s="33" t="s">
        <v>461</v>
      </c>
      <c r="C36" s="4"/>
      <c r="D36" s="4"/>
      <c r="E36" s="4"/>
      <c r="F36" s="4"/>
      <c r="G36" s="4"/>
      <c r="H36" s="4"/>
      <c r="I36" s="4"/>
      <c r="J36" s="4"/>
      <c r="K36" s="4"/>
      <c r="L36" s="4"/>
      <c r="M36" s="4"/>
      <c r="N36" s="4"/>
      <c r="O36" s="34"/>
      <c r="P36" s="4"/>
      <c r="Q36" s="27" t="s">
        <v>462</v>
      </c>
      <c r="R36" s="28"/>
      <c r="S36" s="4"/>
      <c r="T36" s="4"/>
      <c r="U36" s="46" t="s">
        <v>113</v>
      </c>
      <c r="V36" s="17"/>
    </row>
    <row r="37" ht="16.5" customHeight="1">
      <c r="A37" s="4"/>
      <c r="B37" s="4"/>
      <c r="C37" s="4"/>
      <c r="D37" s="4"/>
      <c r="E37" s="4"/>
      <c r="F37" s="4"/>
      <c r="G37" s="4"/>
      <c r="H37" s="4"/>
      <c r="I37" s="4"/>
      <c r="J37" s="4"/>
      <c r="K37" s="4"/>
      <c r="L37" s="4"/>
      <c r="M37" s="4"/>
      <c r="N37" s="4"/>
      <c r="O37" s="4"/>
      <c r="P37" s="36"/>
      <c r="Q37" s="29" t="str">
        <f>IF(R37="","W CR-R4-01",IF(R37=N21,M21&amp;"",IF(R37=N22,M22&amp;"","W CR-R4-01")))</f>
        <v>W CR-R4-01</v>
      </c>
      <c r="R37" s="38"/>
      <c r="S37" s="31"/>
      <c r="T37" s="31"/>
      <c r="U37" s="48" t="str">
        <f>IF(V37="","W CR-R5-01",IF(V37=R37,Q37&amp;"",IF(V37=R38,Q38&amp;"","W CR-R5-01")))</f>
        <v>W CR-R5-01</v>
      </c>
      <c r="V37" s="49"/>
    </row>
    <row r="38" ht="16.5" customHeight="1">
      <c r="A38" s="27" t="s">
        <v>474</v>
      </c>
      <c r="B38" s="28"/>
      <c r="C38" s="4"/>
      <c r="D38" s="4"/>
      <c r="E38" s="4"/>
      <c r="F38" s="4"/>
      <c r="G38" s="4"/>
      <c r="H38" s="4"/>
      <c r="I38" s="4"/>
      <c r="J38" s="4"/>
      <c r="K38" s="4"/>
      <c r="L38" s="4"/>
      <c r="M38" s="4"/>
      <c r="N38" s="4"/>
      <c r="O38" s="34"/>
      <c r="P38" s="36"/>
      <c r="Q38" s="32" t="str">
        <f>IF(R38="","W CR-R4-02",IF(R38=N53,M53&amp;"",IF(R38=N54,M54&amp;"","W CR-R4-02")))</f>
        <v>W CR-R4-02</v>
      </c>
      <c r="R38" s="37"/>
      <c r="S38" s="4"/>
      <c r="T38" s="4"/>
      <c r="U38" s="50" t="s">
        <v>116</v>
      </c>
      <c r="V38" s="17"/>
    </row>
    <row r="39" ht="16.5" customHeight="1">
      <c r="A39" s="29" t="s">
        <v>82</v>
      </c>
      <c r="B39" s="30" t="s">
        <v>480</v>
      </c>
      <c r="C39" s="31"/>
      <c r="D39" s="4"/>
      <c r="E39" s="4"/>
      <c r="F39" s="4"/>
      <c r="G39" s="4"/>
      <c r="H39" s="4"/>
      <c r="I39" s="4"/>
      <c r="J39" s="4"/>
      <c r="K39" s="4"/>
      <c r="L39" s="4"/>
      <c r="M39" s="4"/>
      <c r="N39" s="4"/>
      <c r="O39" s="34"/>
      <c r="P39" s="4"/>
      <c r="Q39" s="4"/>
      <c r="R39" s="4"/>
      <c r="S39" s="4"/>
      <c r="T39" s="4"/>
      <c r="U39" s="55" t="str">
        <f>IF(V37="","L final",IF(V37=R37,Q38&amp;"",IF(V37=R38,Q37&amp;"","L final")))</f>
        <v>L final</v>
      </c>
      <c r="V39" s="56" t="str">
        <f>IF(V37="","",IF(V37=R37,R38&amp;"",IF(V37=R38,R37&amp;"","")))</f>
        <v/>
      </c>
    </row>
    <row r="40" ht="16.5" customHeight="1">
      <c r="A40" s="32" t="s">
        <v>68</v>
      </c>
      <c r="B40" s="33" t="s">
        <v>494</v>
      </c>
      <c r="C40" s="34"/>
      <c r="D40" s="4"/>
      <c r="E40" s="27" t="s">
        <v>495</v>
      </c>
      <c r="F40" s="28"/>
      <c r="G40" s="4"/>
      <c r="H40" s="4"/>
      <c r="I40" s="4"/>
      <c r="J40" s="4"/>
      <c r="K40" s="4"/>
      <c r="L40" s="4"/>
      <c r="M40" s="4"/>
      <c r="N40" s="4"/>
      <c r="O40" s="34"/>
      <c r="P40" s="4"/>
      <c r="Q40" s="4"/>
      <c r="R40" s="4"/>
      <c r="S40" s="4"/>
      <c r="T40" s="4"/>
      <c r="U40" s="4"/>
      <c r="V40" s="4"/>
    </row>
    <row r="41" ht="16.5" customHeight="1">
      <c r="A41" s="4"/>
      <c r="B41" s="4"/>
      <c r="C41" s="4"/>
      <c r="D41" s="36"/>
      <c r="E41" s="29" t="str">
        <f>IF(F41="","W CR-R1-08",IF(F41=B39,A39&amp;"",IF(F41=B40,A40&amp;"","W CR-R1-08")))</f>
        <v>Team 1</v>
      </c>
      <c r="F41" s="38" t="s">
        <v>494</v>
      </c>
      <c r="G41" s="31"/>
      <c r="H41" s="4"/>
      <c r="I41" s="4"/>
      <c r="J41" s="4"/>
      <c r="K41" s="4"/>
      <c r="L41" s="4"/>
      <c r="M41" s="4"/>
      <c r="N41" s="4"/>
      <c r="O41" s="34"/>
      <c r="P41" s="4"/>
      <c r="Q41" s="57" t="s">
        <v>507</v>
      </c>
      <c r="R41" s="28"/>
      <c r="S41" s="4"/>
      <c r="T41" s="4"/>
      <c r="U41" s="59" t="s">
        <v>121</v>
      </c>
      <c r="V41" s="17"/>
    </row>
    <row r="42" ht="16.5" customHeight="1">
      <c r="A42" s="27" t="s">
        <v>508</v>
      </c>
      <c r="B42" s="28"/>
      <c r="C42" s="34"/>
      <c r="D42" s="36"/>
      <c r="E42" s="32" t="str">
        <f>IF(F42="","W CR-R1-09",IF(F42=B43,A43&amp;"",IF(F42=B44,A44&amp;"","W CR-R1-09")))</f>
        <v>Team 4</v>
      </c>
      <c r="F42" s="37" t="s">
        <v>509</v>
      </c>
      <c r="G42" s="34"/>
      <c r="H42" s="4"/>
      <c r="I42" s="4"/>
      <c r="J42" s="4"/>
      <c r="K42" s="4"/>
      <c r="L42" s="4"/>
      <c r="M42" s="4"/>
      <c r="N42" s="4"/>
      <c r="O42" s="34"/>
      <c r="P42" s="4"/>
      <c r="Q42" s="29" t="str">
        <f>IF(R37="","L CR-R4-01",IF(R37=N21,M22&amp;"",IF(R37=N22,M21&amp;"","L CR-R4-01")))</f>
        <v>L CR-R4-01</v>
      </c>
      <c r="R42" s="21" t="str">
        <f>IF(R37="","",IF(R37=N21,N22&amp;"",IF(R37=N22,N21&amp;"","")))</f>
        <v/>
      </c>
      <c r="S42" s="31"/>
      <c r="T42" s="31"/>
      <c r="U42" s="60" t="str">
        <f>IF(V42="","W CR-3P-01",IF(V42=R42,Q42&amp;"",IF(V42=R43,Q43&amp;"","W CR-3P-01")))</f>
        <v>W CR-3P-01</v>
      </c>
      <c r="V42" s="61"/>
    </row>
    <row r="43" ht="16.5" customHeight="1">
      <c r="A43" s="29" t="s">
        <v>82</v>
      </c>
      <c r="B43" s="30" t="s">
        <v>509</v>
      </c>
      <c r="C43" s="39"/>
      <c r="D43" s="4"/>
      <c r="E43" s="4"/>
      <c r="F43" s="4"/>
      <c r="G43" s="34"/>
      <c r="H43" s="4"/>
      <c r="I43" s="4"/>
      <c r="J43" s="4"/>
      <c r="K43" s="4"/>
      <c r="L43" s="4"/>
      <c r="M43" s="4"/>
      <c r="N43" s="4"/>
      <c r="O43" s="34"/>
      <c r="P43" s="4"/>
      <c r="Q43" s="32" t="str">
        <f>IF(R38="","L CR-R4-02",IF(R38=N53,M54&amp;"",IF(R38=N54,M53&amp;"","L CR-R4-02")))</f>
        <v>L CR-R4-02</v>
      </c>
      <c r="R43" s="62" t="str">
        <f>IF(R38="","",IF(R38=N53,N54&amp;"",IF(R38=N54,N53&amp;"","")))</f>
        <v/>
      </c>
      <c r="S43" s="4"/>
      <c r="T43" s="4"/>
      <c r="U43" s="4"/>
      <c r="V43" s="4"/>
    </row>
    <row r="44" ht="16.5" customHeight="1">
      <c r="A44" s="32" t="s">
        <v>77</v>
      </c>
      <c r="B44" s="33" t="s">
        <v>510</v>
      </c>
      <c r="C44" s="4"/>
      <c r="D44" s="4"/>
      <c r="E44" s="4"/>
      <c r="F44" s="4"/>
      <c r="G44" s="34"/>
      <c r="H44" s="4"/>
      <c r="I44" s="27" t="s">
        <v>511</v>
      </c>
      <c r="J44" s="28"/>
      <c r="K44" s="4"/>
      <c r="L44" s="4"/>
      <c r="M44" s="4"/>
      <c r="N44" s="4"/>
      <c r="O44" s="34"/>
      <c r="P44" s="4"/>
      <c r="Q44" s="4"/>
      <c r="R44" s="4"/>
      <c r="S44" s="4"/>
      <c r="T44" s="4"/>
      <c r="U44" s="4"/>
      <c r="V44" s="4"/>
    </row>
    <row r="45" ht="16.5" customHeight="1">
      <c r="A45" s="4"/>
      <c r="B45" s="4"/>
      <c r="C45" s="4"/>
      <c r="D45" s="4"/>
      <c r="E45" s="4"/>
      <c r="F45" s="4"/>
      <c r="G45" s="4"/>
      <c r="H45" s="36"/>
      <c r="I45" s="29" t="str">
        <f>IF(J45="","W CR-R2-05",IF(J45=F41,E41&amp;"",IF(J45=F42,E42&amp;"","W CR-R2-05")))</f>
        <v>Team 4</v>
      </c>
      <c r="J45" s="38" t="s">
        <v>509</v>
      </c>
      <c r="K45" s="31"/>
      <c r="L45" s="4"/>
      <c r="M45" s="4"/>
      <c r="N45" s="4"/>
      <c r="O45" s="34"/>
      <c r="P45" s="4"/>
      <c r="Q45" s="4"/>
      <c r="R45" s="4"/>
      <c r="S45" s="4"/>
      <c r="T45" s="4"/>
      <c r="U45" s="4"/>
      <c r="V45" s="4"/>
    </row>
    <row r="46" ht="16.5" customHeight="1">
      <c r="A46" s="27" t="s">
        <v>512</v>
      </c>
      <c r="B46" s="28"/>
      <c r="C46" s="4"/>
      <c r="D46" s="4"/>
      <c r="E46" s="4"/>
      <c r="F46" s="4"/>
      <c r="G46" s="34"/>
      <c r="H46" s="36"/>
      <c r="I46" s="32" t="str">
        <f>IF(J46="","W CR-R2-06",IF(J46=F49,E49&amp;"",IF(J46=F50,E50&amp;"","W CR-R2-06")))</f>
        <v>Team 4</v>
      </c>
      <c r="J46" s="37" t="s">
        <v>513</v>
      </c>
      <c r="K46" s="34"/>
      <c r="L46" s="4"/>
      <c r="M46" s="4"/>
      <c r="N46" s="4"/>
      <c r="O46" s="34"/>
      <c r="P46" s="4"/>
      <c r="Q46" s="4"/>
      <c r="R46" s="4"/>
      <c r="S46" s="4"/>
      <c r="T46" s="4"/>
      <c r="U46" s="4"/>
      <c r="V46" s="4"/>
    </row>
    <row r="47" ht="16.5" customHeight="1">
      <c r="A47" s="29" t="s">
        <v>66</v>
      </c>
      <c r="B47" s="30" t="s">
        <v>514</v>
      </c>
      <c r="C47" s="31"/>
      <c r="D47" s="4"/>
      <c r="E47" s="4"/>
      <c r="F47" s="4"/>
      <c r="G47" s="34"/>
      <c r="H47" s="4"/>
      <c r="I47" s="4"/>
      <c r="J47" s="4"/>
      <c r="K47" s="34"/>
      <c r="L47" s="4"/>
      <c r="M47" s="4"/>
      <c r="N47" s="4"/>
      <c r="O47" s="34"/>
      <c r="P47" s="4"/>
      <c r="Q47" s="4"/>
      <c r="R47" s="4"/>
      <c r="S47" s="4"/>
      <c r="T47" s="4"/>
      <c r="U47" s="4"/>
      <c r="V47" s="4"/>
    </row>
    <row r="48" ht="16.5" customHeight="1">
      <c r="A48" s="32" t="s">
        <v>68</v>
      </c>
      <c r="B48" s="33" t="s">
        <v>515</v>
      </c>
      <c r="C48" s="34"/>
      <c r="D48" s="4"/>
      <c r="E48" s="27" t="s">
        <v>516</v>
      </c>
      <c r="F48" s="28"/>
      <c r="G48" s="34"/>
      <c r="H48" s="4"/>
      <c r="I48" s="4"/>
      <c r="J48" s="4"/>
      <c r="K48" s="34"/>
      <c r="L48" s="4"/>
      <c r="M48" s="4"/>
      <c r="N48" s="4"/>
      <c r="O48" s="34"/>
      <c r="P48" s="4"/>
      <c r="Q48" s="4"/>
      <c r="R48" s="4"/>
      <c r="S48" s="4"/>
      <c r="T48" s="4"/>
      <c r="U48" s="4"/>
      <c r="V48" s="4"/>
    </row>
    <row r="49" ht="16.5" customHeight="1">
      <c r="A49" s="4"/>
      <c r="B49" s="4"/>
      <c r="C49" s="4"/>
      <c r="D49" s="36"/>
      <c r="E49" s="29" t="str">
        <f>IF(F49="","W CR-R1-10",IF(F49=B47,A47&amp;"",IF(F49=B48,A48&amp;"","W CR-R1-10")))</f>
        <v>Team 6</v>
      </c>
      <c r="F49" s="38" t="s">
        <v>514</v>
      </c>
      <c r="G49" s="39"/>
      <c r="H49" s="4"/>
      <c r="I49" s="4"/>
      <c r="J49" s="4"/>
      <c r="K49" s="34"/>
      <c r="L49" s="4"/>
      <c r="M49" s="4"/>
      <c r="N49" s="4"/>
      <c r="O49" s="34"/>
      <c r="P49" s="4"/>
      <c r="Q49" s="4"/>
      <c r="R49" s="4"/>
      <c r="S49" s="4"/>
      <c r="T49" s="4"/>
      <c r="U49" s="4"/>
      <c r="V49" s="4"/>
    </row>
    <row r="50" ht="16.5" customHeight="1">
      <c r="A50" s="27" t="s">
        <v>517</v>
      </c>
      <c r="B50" s="28"/>
      <c r="C50" s="34"/>
      <c r="D50" s="36"/>
      <c r="E50" s="32" t="str">
        <f>IF(F50="","W CR-R1-11",IF(F50=B51,A51&amp;"",IF(F50=B52,A52&amp;"","W CR-R1-11")))</f>
        <v>Team 4</v>
      </c>
      <c r="F50" s="37" t="s">
        <v>513</v>
      </c>
      <c r="G50" s="4"/>
      <c r="H50" s="4"/>
      <c r="I50" s="4"/>
      <c r="J50" s="4"/>
      <c r="K50" s="34"/>
      <c r="L50" s="4"/>
      <c r="M50" s="4"/>
      <c r="N50" s="4"/>
      <c r="O50" s="34"/>
      <c r="P50" s="4"/>
      <c r="Q50" s="4"/>
      <c r="R50" s="4"/>
      <c r="S50" s="4"/>
      <c r="T50" s="4"/>
      <c r="U50" s="4"/>
      <c r="V50" s="4"/>
    </row>
    <row r="51" ht="16.5" customHeight="1">
      <c r="A51" s="29" t="s">
        <v>82</v>
      </c>
      <c r="B51" s="30" t="s">
        <v>513</v>
      </c>
      <c r="C51" s="39"/>
      <c r="D51" s="4"/>
      <c r="E51" s="4"/>
      <c r="F51" s="4"/>
      <c r="G51" s="4"/>
      <c r="H51" s="4"/>
      <c r="I51" s="4"/>
      <c r="J51" s="4"/>
      <c r="K51" s="34"/>
      <c r="L51" s="4"/>
      <c r="M51" s="4"/>
      <c r="N51" s="4"/>
      <c r="O51" s="34"/>
      <c r="P51" s="4"/>
      <c r="Q51" s="4"/>
      <c r="R51" s="4"/>
      <c r="S51" s="4"/>
      <c r="T51" s="4"/>
      <c r="U51" s="4"/>
      <c r="V51" s="4"/>
    </row>
    <row r="52" ht="16.5" customHeight="1">
      <c r="A52" s="32" t="s">
        <v>71</v>
      </c>
      <c r="B52" s="33" t="s">
        <v>522</v>
      </c>
      <c r="C52" s="4"/>
      <c r="D52" s="4"/>
      <c r="E52" s="4"/>
      <c r="F52" s="4"/>
      <c r="G52" s="4"/>
      <c r="H52" s="4"/>
      <c r="I52" s="4"/>
      <c r="J52" s="4"/>
      <c r="K52" s="34"/>
      <c r="L52" s="4"/>
      <c r="M52" s="27" t="s">
        <v>523</v>
      </c>
      <c r="N52" s="28"/>
      <c r="O52" s="34"/>
      <c r="P52" s="4"/>
      <c r="Q52" s="4"/>
      <c r="R52" s="4"/>
      <c r="S52" s="4"/>
      <c r="T52" s="4"/>
      <c r="U52" s="4"/>
      <c r="V52" s="4"/>
    </row>
    <row r="53" ht="16.5" customHeight="1">
      <c r="A53" s="4"/>
      <c r="B53" s="4"/>
      <c r="C53" s="4"/>
      <c r="D53" s="4"/>
      <c r="E53" s="4"/>
      <c r="F53" s="4"/>
      <c r="G53" s="4"/>
      <c r="H53" s="4"/>
      <c r="I53" s="4"/>
      <c r="J53" s="4"/>
      <c r="K53" s="4"/>
      <c r="L53" s="36"/>
      <c r="M53" s="29" t="str">
        <f>IF(N53="","W CR-R3-03",IF(N53=J45,I45&amp;"",IF(N53=J46,I46&amp;"","W CR-R3-03")))</f>
        <v>Team 4</v>
      </c>
      <c r="N53" s="38" t="s">
        <v>509</v>
      </c>
      <c r="O53" s="39"/>
      <c r="P53" s="4"/>
      <c r="Q53" s="4"/>
      <c r="R53" s="4"/>
      <c r="S53" s="4"/>
      <c r="T53" s="4"/>
      <c r="U53" s="4"/>
      <c r="V53" s="4"/>
    </row>
    <row r="54" ht="16.5" customHeight="1">
      <c r="A54" s="27" t="s">
        <v>524</v>
      </c>
      <c r="B54" s="28"/>
      <c r="C54" s="4"/>
      <c r="D54" s="4"/>
      <c r="E54" s="4"/>
      <c r="F54" s="4"/>
      <c r="G54" s="4"/>
      <c r="H54" s="4"/>
      <c r="I54" s="4"/>
      <c r="J54" s="4"/>
      <c r="K54" s="34"/>
      <c r="L54" s="36"/>
      <c r="M54" s="32" t="str">
        <f>IF(N54="","W CR-R3-04",IF(N54=J61,I61&amp;"",IF(N54=J62,I62&amp;"","W CR-R3-04")))</f>
        <v>Team 1</v>
      </c>
      <c r="N54" s="37" t="s">
        <v>525</v>
      </c>
      <c r="O54" s="4"/>
      <c r="P54" s="4"/>
      <c r="Q54" s="4"/>
      <c r="R54" s="4"/>
      <c r="S54" s="4"/>
      <c r="T54" s="4"/>
      <c r="U54" s="4"/>
      <c r="V54" s="4"/>
    </row>
    <row r="55" ht="16.5" customHeight="1">
      <c r="A55" s="29" t="s">
        <v>86</v>
      </c>
      <c r="B55" s="30" t="s">
        <v>526</v>
      </c>
      <c r="C55" s="31"/>
      <c r="D55" s="4"/>
      <c r="E55" s="4"/>
      <c r="F55" s="4"/>
      <c r="G55" s="4"/>
      <c r="H55" s="4"/>
      <c r="I55" s="4"/>
      <c r="J55" s="4"/>
      <c r="K55" s="34"/>
      <c r="L55" s="4"/>
      <c r="M55" s="4"/>
      <c r="N55" s="4"/>
      <c r="O55" s="4"/>
      <c r="P55" s="4"/>
      <c r="Q55" s="4"/>
      <c r="R55" s="4"/>
      <c r="S55" s="4"/>
      <c r="T55" s="4"/>
      <c r="U55" s="4"/>
      <c r="V55" s="4"/>
    </row>
    <row r="56" ht="16.5" customHeight="1">
      <c r="A56" s="32" t="s">
        <v>77</v>
      </c>
      <c r="B56" s="33" t="s">
        <v>527</v>
      </c>
      <c r="C56" s="34"/>
      <c r="D56" s="4"/>
      <c r="E56" s="27" t="s">
        <v>528</v>
      </c>
      <c r="F56" s="28"/>
      <c r="G56" s="4"/>
      <c r="H56" s="4"/>
      <c r="I56" s="4"/>
      <c r="J56" s="4"/>
      <c r="K56" s="34"/>
      <c r="L56" s="4"/>
      <c r="M56" s="4"/>
      <c r="N56" s="4"/>
      <c r="O56" s="4"/>
      <c r="P56" s="4"/>
      <c r="Q56" s="4"/>
      <c r="R56" s="4"/>
      <c r="S56" s="4"/>
      <c r="T56" s="4"/>
      <c r="U56" s="4"/>
      <c r="V56" s="4"/>
    </row>
    <row r="57" ht="16.5" customHeight="1">
      <c r="A57" s="4"/>
      <c r="B57" s="4"/>
      <c r="C57" s="4"/>
      <c r="D57" s="36"/>
      <c r="E57" s="29" t="str">
        <f>IF(F57="","W CR-R1-12",IF(F57=B55,A55&amp;"",IF(F57=B56,A56&amp;"","W CR-R1-12")))</f>
        <v>Team 5</v>
      </c>
      <c r="F57" s="38" t="s">
        <v>526</v>
      </c>
      <c r="G57" s="31"/>
      <c r="H57" s="4"/>
      <c r="I57" s="4"/>
      <c r="J57" s="4"/>
      <c r="K57" s="34"/>
      <c r="L57" s="4"/>
      <c r="M57" s="4"/>
      <c r="N57" s="4"/>
      <c r="O57" s="4"/>
      <c r="P57" s="4"/>
      <c r="Q57" s="4"/>
      <c r="R57" s="4"/>
      <c r="S57" s="4"/>
      <c r="T57" s="4"/>
      <c r="U57" s="4"/>
      <c r="V57" s="4"/>
    </row>
    <row r="58" ht="16.5" customHeight="1">
      <c r="A58" s="27" t="s">
        <v>529</v>
      </c>
      <c r="B58" s="28"/>
      <c r="C58" s="34"/>
      <c r="D58" s="36"/>
      <c r="E58" s="32" t="str">
        <f>IF(F58="","W CR-R1-13",IF(F58=B59,A59&amp;"",IF(F58=B60,A60&amp;"","W CR-R1-13")))</f>
        <v>Team 6</v>
      </c>
      <c r="F58" s="37" t="s">
        <v>530</v>
      </c>
      <c r="G58" s="34"/>
      <c r="H58" s="4"/>
      <c r="I58" s="4"/>
      <c r="J58" s="4"/>
      <c r="K58" s="34"/>
      <c r="L58" s="4"/>
      <c r="M58" s="4"/>
      <c r="N58" s="4"/>
      <c r="O58" s="4"/>
      <c r="P58" s="4"/>
      <c r="Q58" s="4"/>
      <c r="R58" s="4"/>
      <c r="S58" s="4"/>
      <c r="T58" s="4"/>
      <c r="U58" s="4"/>
      <c r="V58" s="4"/>
    </row>
    <row r="59" ht="16.5" customHeight="1">
      <c r="A59" s="29" t="s">
        <v>71</v>
      </c>
      <c r="B59" s="30" t="s">
        <v>531</v>
      </c>
      <c r="C59" s="39"/>
      <c r="D59" s="4"/>
      <c r="E59" s="4"/>
      <c r="F59" s="4"/>
      <c r="G59" s="34"/>
      <c r="H59" s="4"/>
      <c r="I59" s="4"/>
      <c r="J59" s="4"/>
      <c r="K59" s="34"/>
      <c r="L59" s="4"/>
      <c r="M59" s="4"/>
      <c r="N59" s="4"/>
      <c r="O59" s="4"/>
      <c r="P59" s="4"/>
      <c r="Q59" s="4"/>
      <c r="R59" s="4"/>
      <c r="S59" s="4"/>
      <c r="T59" s="4"/>
      <c r="U59" s="4"/>
      <c r="V59" s="4"/>
    </row>
    <row r="60" ht="16.5" customHeight="1">
      <c r="A60" s="32" t="s">
        <v>66</v>
      </c>
      <c r="B60" s="33" t="s">
        <v>530</v>
      </c>
      <c r="C60" s="4"/>
      <c r="D60" s="4"/>
      <c r="E60" s="4"/>
      <c r="F60" s="4"/>
      <c r="G60" s="34"/>
      <c r="H60" s="4"/>
      <c r="I60" s="27" t="s">
        <v>532</v>
      </c>
      <c r="J60" s="28"/>
      <c r="K60" s="34"/>
      <c r="L60" s="4"/>
      <c r="M60" s="4"/>
      <c r="N60" s="4"/>
      <c r="O60" s="4"/>
      <c r="P60" s="4"/>
      <c r="Q60" s="4"/>
      <c r="R60" s="4"/>
      <c r="S60" s="4"/>
      <c r="T60" s="4"/>
      <c r="U60" s="4"/>
      <c r="V60" s="4"/>
    </row>
    <row r="61" ht="16.5" customHeight="1">
      <c r="A61" s="4"/>
      <c r="B61" s="4"/>
      <c r="C61" s="4"/>
      <c r="D61" s="4"/>
      <c r="E61" s="4"/>
      <c r="F61" s="4"/>
      <c r="G61" s="4"/>
      <c r="H61" s="36"/>
      <c r="I61" s="29" t="str">
        <f>IF(J61="","W CR-R2-07",IF(J61=F57,E57&amp;"",IF(J61=F58,E58&amp;"","W CR-R2-07")))</f>
        <v>Team 6</v>
      </c>
      <c r="J61" s="38" t="s">
        <v>530</v>
      </c>
      <c r="K61" s="39"/>
      <c r="L61" s="4"/>
      <c r="M61" s="4"/>
      <c r="N61" s="4"/>
      <c r="O61" s="4"/>
      <c r="P61" s="4"/>
      <c r="Q61" s="4"/>
      <c r="R61" s="4"/>
      <c r="S61" s="4"/>
      <c r="T61" s="4"/>
      <c r="U61" s="4"/>
      <c r="V61" s="4"/>
    </row>
    <row r="62" ht="16.5" customHeight="1">
      <c r="A62" s="27" t="s">
        <v>533</v>
      </c>
      <c r="B62" s="28"/>
      <c r="C62" s="4"/>
      <c r="D62" s="4"/>
      <c r="E62" s="4"/>
      <c r="F62" s="4"/>
      <c r="G62" s="34"/>
      <c r="H62" s="36"/>
      <c r="I62" s="32" t="str">
        <f>IF(J62="","W CR-R2-08",IF(J62=F65,E65&amp;"",IF(J62=F66,E66&amp;"","W CR-R2-08")))</f>
        <v>Team 1</v>
      </c>
      <c r="J62" s="37" t="s">
        <v>525</v>
      </c>
      <c r="K62" s="4"/>
      <c r="L62" s="4"/>
      <c r="M62" s="4"/>
      <c r="N62" s="4"/>
      <c r="O62" s="4"/>
      <c r="P62" s="4"/>
      <c r="Q62" s="4"/>
      <c r="R62" s="4"/>
      <c r="S62" s="4"/>
      <c r="T62" s="4"/>
      <c r="U62" s="4"/>
      <c r="V62" s="4"/>
    </row>
    <row r="63" ht="16.5" customHeight="1">
      <c r="A63" s="29" t="s">
        <v>86</v>
      </c>
      <c r="B63" s="30" t="s">
        <v>534</v>
      </c>
      <c r="C63" s="31"/>
      <c r="D63" s="4"/>
      <c r="E63" s="4"/>
      <c r="F63" s="4"/>
      <c r="G63" s="34"/>
      <c r="H63" s="4"/>
      <c r="I63" s="4"/>
      <c r="J63" s="4"/>
      <c r="K63" s="4"/>
      <c r="L63" s="4"/>
      <c r="M63" s="4"/>
      <c r="N63" s="4"/>
      <c r="O63" s="4"/>
      <c r="P63" s="4"/>
      <c r="Q63" s="4"/>
      <c r="R63" s="4"/>
      <c r="S63" s="4"/>
      <c r="T63" s="4"/>
      <c r="U63" s="4"/>
      <c r="V63" s="4"/>
    </row>
    <row r="64" ht="16.5" customHeight="1">
      <c r="A64" s="32" t="s">
        <v>66</v>
      </c>
      <c r="B64" s="33" t="s">
        <v>535</v>
      </c>
      <c r="C64" s="34"/>
      <c r="D64" s="4"/>
      <c r="E64" s="27" t="s">
        <v>536</v>
      </c>
      <c r="F64" s="28"/>
      <c r="G64" s="34"/>
      <c r="H64" s="4"/>
      <c r="I64" s="4"/>
      <c r="J64" s="4"/>
      <c r="K64" s="4"/>
      <c r="L64" s="4"/>
      <c r="M64" s="4"/>
      <c r="N64" s="4"/>
      <c r="O64" s="4"/>
      <c r="P64" s="4"/>
      <c r="Q64" s="4"/>
      <c r="R64" s="4"/>
      <c r="S64" s="4"/>
      <c r="T64" s="4"/>
      <c r="U64" s="4"/>
      <c r="V64" s="4"/>
    </row>
    <row r="65" ht="16.5" customHeight="1">
      <c r="A65" s="4"/>
      <c r="B65" s="4"/>
      <c r="C65" s="4"/>
      <c r="D65" s="36"/>
      <c r="E65" s="29" t="str">
        <f>IF(F65="","W CR-R1-14",IF(F65=B63,A63&amp;"",IF(F65=B64,A64&amp;"","W CR-R1-14")))</f>
        <v>Team 5</v>
      </c>
      <c r="F65" s="38" t="s">
        <v>534</v>
      </c>
      <c r="G65" s="39"/>
      <c r="H65" s="4"/>
      <c r="I65" s="4"/>
      <c r="J65" s="4"/>
      <c r="K65" s="4"/>
      <c r="L65" s="4"/>
      <c r="M65" s="4"/>
      <c r="N65" s="4"/>
      <c r="O65" s="4"/>
      <c r="P65" s="4"/>
      <c r="Q65" s="4"/>
      <c r="R65" s="4"/>
      <c r="S65" s="4"/>
      <c r="T65" s="4"/>
      <c r="U65" s="4"/>
      <c r="V65" s="4"/>
    </row>
    <row r="66" ht="16.5" customHeight="1">
      <c r="A66" s="27" t="s">
        <v>537</v>
      </c>
      <c r="B66" s="28"/>
      <c r="C66" s="34"/>
      <c r="D66" s="36"/>
      <c r="E66" s="32" t="str">
        <f>IF(F66="","W CR-R1-15",IF(F66=B67,A67&amp;"",IF(F66=B68,A68&amp;"","W CR-R1-15")))</f>
        <v>Team 1</v>
      </c>
      <c r="F66" s="37" t="s">
        <v>525</v>
      </c>
      <c r="G66" s="4"/>
      <c r="H66" s="4"/>
      <c r="I66" s="4"/>
      <c r="J66" s="4"/>
      <c r="K66" s="4"/>
      <c r="L66" s="4"/>
      <c r="M66" s="4"/>
      <c r="N66" s="4"/>
      <c r="O66" s="4"/>
      <c r="P66" s="4"/>
      <c r="Q66" s="4"/>
      <c r="R66" s="4"/>
      <c r="S66" s="4"/>
      <c r="T66" s="4"/>
      <c r="U66" s="4"/>
      <c r="V66" s="4"/>
    </row>
    <row r="67" ht="16.5" customHeight="1">
      <c r="A67" s="29" t="s">
        <v>68</v>
      </c>
      <c r="B67" s="30" t="s">
        <v>525</v>
      </c>
      <c r="C67" s="39"/>
      <c r="D67" s="4"/>
      <c r="E67" s="4"/>
      <c r="F67" s="4"/>
      <c r="G67" s="4"/>
      <c r="H67" s="4"/>
      <c r="I67" s="4"/>
      <c r="J67" s="4"/>
      <c r="K67" s="4"/>
      <c r="L67" s="4"/>
      <c r="M67" s="4"/>
      <c r="N67" s="4"/>
      <c r="O67" s="4"/>
      <c r="P67" s="4"/>
      <c r="Q67" s="4"/>
      <c r="R67" s="4"/>
      <c r="S67" s="4"/>
      <c r="T67" s="4"/>
      <c r="U67" s="4"/>
      <c r="V67" s="4"/>
    </row>
    <row r="68" ht="16.5" customHeight="1">
      <c r="A68" s="32" t="s">
        <v>82</v>
      </c>
      <c r="B68" s="33" t="s">
        <v>538</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279</v>
      </c>
      <c r="B1" s="2"/>
      <c r="C1" s="2"/>
      <c r="D1" s="2"/>
      <c r="E1" s="2"/>
      <c r="F1" s="2"/>
      <c r="G1" s="2"/>
      <c r="H1" s="2"/>
      <c r="I1" s="2"/>
      <c r="J1" s="2"/>
      <c r="K1" s="2"/>
      <c r="L1" s="2"/>
      <c r="M1" s="2"/>
      <c r="N1" s="2"/>
      <c r="O1" s="2"/>
      <c r="P1" s="2"/>
      <c r="Q1" s="2"/>
      <c r="R1" s="2"/>
      <c r="S1" s="2"/>
      <c r="T1" s="2"/>
      <c r="U1" s="2"/>
      <c r="V1" s="2"/>
    </row>
    <row r="2">
      <c r="A2" s="3" t="s">
        <v>56</v>
      </c>
    </row>
    <row r="3">
      <c r="A3" s="4"/>
      <c r="B3" s="4"/>
      <c r="C3" s="4"/>
      <c r="D3" s="4"/>
      <c r="E3" s="4"/>
      <c r="F3" s="4"/>
      <c r="G3" s="4"/>
      <c r="H3" s="4"/>
      <c r="I3" s="4"/>
      <c r="J3" s="4"/>
      <c r="K3" s="4"/>
      <c r="L3" s="4"/>
      <c r="M3" s="4"/>
      <c r="N3" s="4"/>
      <c r="O3" s="4"/>
      <c r="P3" s="4"/>
      <c r="Q3" s="4"/>
      <c r="R3" s="4"/>
      <c r="S3" s="4"/>
      <c r="T3" s="4"/>
      <c r="U3" s="4"/>
      <c r="V3" s="4"/>
    </row>
    <row r="4" ht="19.5" customHeight="1">
      <c r="A4" s="22" t="s">
        <v>50</v>
      </c>
      <c r="B4" s="2"/>
      <c r="C4" s="4"/>
      <c r="D4" s="4"/>
      <c r="E4" s="22" t="s">
        <v>57</v>
      </c>
      <c r="F4" s="2"/>
      <c r="G4" s="4"/>
      <c r="H4" s="4"/>
      <c r="I4" s="22" t="s">
        <v>58</v>
      </c>
      <c r="J4" s="2"/>
      <c r="K4" s="4"/>
      <c r="L4" s="4"/>
      <c r="M4" s="22" t="s">
        <v>59</v>
      </c>
      <c r="N4" s="2"/>
      <c r="O4" s="4"/>
      <c r="P4" s="4"/>
      <c r="Q4" s="22" t="s">
        <v>8</v>
      </c>
      <c r="R4" s="2"/>
      <c r="S4" s="4"/>
      <c r="T4" s="4"/>
      <c r="U4" s="23" t="s">
        <v>9</v>
      </c>
      <c r="V4" s="24"/>
    </row>
    <row r="5">
      <c r="A5" s="25" t="s">
        <v>282</v>
      </c>
      <c r="B5" s="2"/>
      <c r="C5" s="4"/>
      <c r="D5" s="4"/>
      <c r="E5" s="25" t="s">
        <v>283</v>
      </c>
      <c r="F5" s="2"/>
      <c r="G5" s="4"/>
      <c r="H5" s="4"/>
      <c r="I5" s="25" t="s">
        <v>284</v>
      </c>
      <c r="J5" s="2"/>
      <c r="K5" s="4"/>
      <c r="L5" s="4"/>
      <c r="M5" s="25" t="s">
        <v>286</v>
      </c>
      <c r="N5" s="2"/>
      <c r="O5" s="4"/>
      <c r="P5" s="4"/>
      <c r="Q5" s="25" t="s">
        <v>64</v>
      </c>
      <c r="R5" s="2"/>
      <c r="S5" s="4"/>
      <c r="T5" s="4"/>
      <c r="U5" s="26"/>
    </row>
    <row r="6" ht="16.5" customHeight="1">
      <c r="A6" s="27" t="s">
        <v>287</v>
      </c>
      <c r="B6" s="28"/>
      <c r="C6" s="4"/>
      <c r="D6" s="4"/>
      <c r="E6" s="4"/>
      <c r="F6" s="4"/>
      <c r="G6" s="4"/>
      <c r="H6" s="4"/>
      <c r="I6" s="4"/>
      <c r="J6" s="4"/>
      <c r="K6" s="4"/>
      <c r="L6" s="4"/>
      <c r="M6" s="4"/>
      <c r="N6" s="4"/>
      <c r="O6" s="4"/>
      <c r="P6" s="4"/>
      <c r="Q6" s="4"/>
      <c r="R6" s="4"/>
      <c r="S6" s="4"/>
      <c r="T6" s="4"/>
      <c r="U6" s="4"/>
      <c r="V6" s="4"/>
    </row>
    <row r="7" ht="16.5" customHeight="1">
      <c r="A7" s="29" t="s">
        <v>68</v>
      </c>
      <c r="B7" s="30" t="s">
        <v>288</v>
      </c>
      <c r="C7" s="31"/>
      <c r="D7" s="4"/>
      <c r="E7" s="4"/>
      <c r="F7" s="4"/>
      <c r="G7" s="4"/>
      <c r="H7" s="4"/>
      <c r="I7" s="4"/>
      <c r="J7" s="4"/>
      <c r="K7" s="4"/>
      <c r="L7" s="4"/>
      <c r="M7" s="4"/>
      <c r="N7" s="4"/>
      <c r="O7" s="4"/>
      <c r="P7" s="4"/>
      <c r="Q7" s="4"/>
      <c r="R7" s="4"/>
      <c r="S7" s="4"/>
      <c r="T7" s="4"/>
      <c r="U7" s="4"/>
      <c r="V7" s="4"/>
    </row>
    <row r="8" ht="16.5" customHeight="1">
      <c r="A8" s="32" t="s">
        <v>77</v>
      </c>
      <c r="B8" s="33" t="s">
        <v>290</v>
      </c>
      <c r="C8" s="34"/>
      <c r="D8" s="4"/>
      <c r="E8" s="27" t="s">
        <v>291</v>
      </c>
      <c r="F8" s="28"/>
      <c r="G8" s="4"/>
      <c r="H8" s="4"/>
      <c r="I8" s="4"/>
      <c r="J8" s="4"/>
      <c r="K8" s="4"/>
      <c r="L8" s="4"/>
      <c r="M8" s="4"/>
      <c r="N8" s="4"/>
      <c r="O8" s="4"/>
      <c r="P8" s="4"/>
      <c r="Q8" s="4"/>
      <c r="R8" s="4"/>
      <c r="S8" s="4"/>
      <c r="T8" s="4"/>
      <c r="U8" s="4"/>
      <c r="V8" s="4"/>
    </row>
    <row r="9" ht="16.5" customHeight="1">
      <c r="A9" s="4"/>
      <c r="B9" s="4"/>
      <c r="C9" s="34"/>
      <c r="D9" s="4"/>
      <c r="E9" s="35" t="s">
        <v>82</v>
      </c>
      <c r="F9" s="30" t="s">
        <v>293</v>
      </c>
      <c r="G9" s="31"/>
      <c r="H9" s="4"/>
      <c r="I9" s="4"/>
      <c r="J9" s="4"/>
      <c r="K9" s="4"/>
      <c r="L9" s="4"/>
      <c r="M9" s="4"/>
      <c r="N9" s="4"/>
      <c r="O9" s="4"/>
      <c r="P9" s="4"/>
      <c r="Q9" s="4"/>
      <c r="R9" s="4"/>
      <c r="S9" s="4"/>
      <c r="T9" s="4"/>
      <c r="U9" s="4"/>
      <c r="V9" s="4"/>
    </row>
    <row r="10" ht="16.5" customHeight="1">
      <c r="A10" s="4"/>
      <c r="B10" s="4"/>
      <c r="C10" s="4"/>
      <c r="D10" s="36"/>
      <c r="E10" s="32" t="str">
        <f>IF(F10="","W TMS-R1-01",IF(F10=B7,A7&amp;"",IF(F10=B8,A8&amp;"","W TMS-R1-01")))</f>
        <v>Team 3</v>
      </c>
      <c r="F10" s="37" t="s">
        <v>290</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27" t="s">
        <v>297</v>
      </c>
      <c r="J11" s="28"/>
      <c r="K11" s="4"/>
      <c r="L11" s="4"/>
      <c r="M11" s="4"/>
      <c r="N11" s="4"/>
      <c r="O11" s="4"/>
      <c r="P11" s="4"/>
      <c r="Q11" s="4"/>
      <c r="R11" s="4"/>
      <c r="S11" s="4"/>
      <c r="T11" s="4"/>
      <c r="U11" s="4"/>
      <c r="V11" s="4"/>
    </row>
    <row r="12" ht="16.5" customHeight="1">
      <c r="A12" s="4"/>
      <c r="B12" s="4"/>
      <c r="C12" s="4"/>
      <c r="D12" s="4"/>
      <c r="E12" s="4"/>
      <c r="F12" s="4"/>
      <c r="G12" s="4"/>
      <c r="H12" s="36"/>
      <c r="I12" s="29" t="str">
        <f>IF(J12="","W TMS-R2-01",IF(J12=F9,E9&amp;"",IF(J12=F10,E10&amp;"","W TMS-R2-01")))</f>
        <v>Team 3</v>
      </c>
      <c r="J12" s="38" t="s">
        <v>290</v>
      </c>
      <c r="K12" s="31"/>
      <c r="L12" s="4"/>
      <c r="M12" s="4"/>
      <c r="N12" s="4"/>
      <c r="O12" s="4"/>
      <c r="P12" s="4"/>
      <c r="Q12" s="4"/>
      <c r="R12" s="4"/>
      <c r="S12" s="4"/>
      <c r="T12" s="4"/>
      <c r="U12" s="4"/>
      <c r="V12" s="4"/>
    </row>
    <row r="13" ht="16.5" customHeight="1">
      <c r="A13" s="4"/>
      <c r="B13" s="4"/>
      <c r="C13" s="4"/>
      <c r="D13" s="4"/>
      <c r="E13" s="4"/>
      <c r="F13" s="4"/>
      <c r="G13" s="34"/>
      <c r="H13" s="36"/>
      <c r="I13" s="32" t="str">
        <f>IF(J13="","W TMS-R2-02",IF(J13=F15,E15&amp;"",IF(J13=F16,E16&amp;"","W TMS-R2-02")))</f>
        <v>Team 6</v>
      </c>
      <c r="J13" s="37" t="s">
        <v>300</v>
      </c>
      <c r="K13" s="34"/>
      <c r="L13" s="4"/>
      <c r="M13" s="4"/>
      <c r="N13" s="4"/>
      <c r="O13" s="4"/>
      <c r="P13" s="4"/>
      <c r="Q13" s="4"/>
      <c r="R13" s="4"/>
      <c r="S13" s="4"/>
      <c r="T13" s="4"/>
      <c r="U13" s="4"/>
      <c r="V13" s="4"/>
    </row>
    <row r="14" ht="16.5" customHeight="1">
      <c r="A14" s="4"/>
      <c r="B14" s="4"/>
      <c r="C14" s="4"/>
      <c r="D14" s="4"/>
      <c r="E14" s="27" t="s">
        <v>301</v>
      </c>
      <c r="F14" s="28"/>
      <c r="G14" s="34"/>
      <c r="H14" s="4"/>
      <c r="I14" s="4"/>
      <c r="J14" s="4"/>
      <c r="K14" s="34"/>
      <c r="L14" s="4"/>
      <c r="M14" s="4"/>
      <c r="N14" s="4"/>
      <c r="O14" s="4"/>
      <c r="P14" s="4"/>
      <c r="Q14" s="4"/>
      <c r="R14" s="4"/>
      <c r="S14" s="4"/>
      <c r="T14" s="4"/>
      <c r="U14" s="4"/>
      <c r="V14" s="4"/>
    </row>
    <row r="15" ht="16.5" customHeight="1">
      <c r="A15" s="4"/>
      <c r="B15" s="4"/>
      <c r="C15" s="4"/>
      <c r="D15" s="4"/>
      <c r="E15" s="35" t="s">
        <v>66</v>
      </c>
      <c r="F15" s="30" t="s">
        <v>300</v>
      </c>
      <c r="G15" s="39"/>
      <c r="H15" s="4"/>
      <c r="I15" s="4"/>
      <c r="J15" s="4"/>
      <c r="K15" s="34"/>
      <c r="L15" s="4"/>
      <c r="M15" s="4"/>
      <c r="N15" s="4"/>
      <c r="O15" s="4"/>
      <c r="P15" s="4"/>
      <c r="Q15" s="4"/>
      <c r="R15" s="4"/>
      <c r="S15" s="4"/>
      <c r="T15" s="4"/>
      <c r="U15" s="4"/>
      <c r="V15" s="4"/>
    </row>
    <row r="16" ht="16.5" customHeight="1">
      <c r="A16" s="4"/>
      <c r="B16" s="4"/>
      <c r="C16" s="4"/>
      <c r="D16" s="4"/>
      <c r="E16" s="66" t="s">
        <v>77</v>
      </c>
      <c r="F16" s="33" t="s">
        <v>305</v>
      </c>
      <c r="G16" s="4"/>
      <c r="H16" s="4"/>
      <c r="I16" s="4"/>
      <c r="J16" s="4"/>
      <c r="K16" s="34"/>
      <c r="L16" s="4"/>
      <c r="M16" s="4"/>
      <c r="N16" s="4"/>
      <c r="O16" s="4"/>
      <c r="P16" s="4"/>
      <c r="Q16" s="4"/>
      <c r="R16" s="4"/>
      <c r="S16" s="4"/>
      <c r="T16" s="4"/>
      <c r="U16" s="4"/>
      <c r="V16" s="4"/>
    </row>
    <row r="17" ht="16.5" customHeight="1">
      <c r="A17" s="4"/>
      <c r="B17" s="4"/>
      <c r="C17" s="4"/>
      <c r="D17" s="4"/>
      <c r="E17" s="4"/>
      <c r="F17" s="4"/>
      <c r="G17" s="4"/>
      <c r="H17" s="4"/>
      <c r="I17" s="4"/>
      <c r="J17" s="4"/>
      <c r="K17" s="34"/>
      <c r="L17" s="4"/>
      <c r="M17" s="4"/>
      <c r="N17" s="4"/>
      <c r="O17" s="4"/>
      <c r="P17" s="4"/>
      <c r="Q17" s="4"/>
      <c r="R17" s="4"/>
      <c r="S17" s="4"/>
      <c r="T17" s="4"/>
      <c r="U17" s="4"/>
      <c r="V17" s="4"/>
    </row>
    <row r="18" ht="16.5" customHeight="1">
      <c r="A18" s="27" t="s">
        <v>306</v>
      </c>
      <c r="B18" s="28"/>
      <c r="C18" s="4"/>
      <c r="D18" s="4"/>
      <c r="E18" s="4"/>
      <c r="F18" s="4"/>
      <c r="G18" s="4"/>
      <c r="H18" s="4"/>
      <c r="I18" s="4"/>
      <c r="J18" s="4"/>
      <c r="K18" s="34"/>
      <c r="L18" s="4"/>
      <c r="M18" s="27" t="s">
        <v>308</v>
      </c>
      <c r="N18" s="28"/>
      <c r="O18" s="4"/>
      <c r="P18" s="4"/>
      <c r="Q18" s="4"/>
      <c r="R18" s="4"/>
      <c r="S18" s="4"/>
      <c r="T18" s="4"/>
      <c r="U18" s="4"/>
      <c r="V18" s="4"/>
    </row>
    <row r="19" ht="16.5" customHeight="1">
      <c r="A19" s="29" t="s">
        <v>77</v>
      </c>
      <c r="B19" s="30" t="s">
        <v>110</v>
      </c>
      <c r="C19" s="31"/>
      <c r="D19" s="4"/>
      <c r="E19" s="4"/>
      <c r="F19" s="4"/>
      <c r="G19" s="4"/>
      <c r="H19" s="4"/>
      <c r="I19" s="4"/>
      <c r="J19" s="4"/>
      <c r="K19" s="4"/>
      <c r="L19" s="36"/>
      <c r="M19" s="29" t="str">
        <f>IF(N19="","W TMS-R3-01",IF(N19=J12,I12&amp;"",IF(N19=J13,I13&amp;"","W TMS-R3-01")))</f>
        <v>Team 3</v>
      </c>
      <c r="N19" s="38" t="s">
        <v>290</v>
      </c>
      <c r="O19" s="31"/>
      <c r="P19" s="4"/>
      <c r="Q19" s="4"/>
      <c r="R19" s="4"/>
      <c r="S19" s="4"/>
      <c r="T19" s="4"/>
      <c r="U19" s="4"/>
      <c r="V19" s="4"/>
    </row>
    <row r="20" ht="16.5" customHeight="1">
      <c r="A20" s="32" t="s">
        <v>82</v>
      </c>
      <c r="B20" s="33" t="s">
        <v>413</v>
      </c>
      <c r="C20" s="34"/>
      <c r="D20" s="4"/>
      <c r="E20" s="27" t="s">
        <v>414</v>
      </c>
      <c r="F20" s="28"/>
      <c r="G20" s="4"/>
      <c r="H20" s="4"/>
      <c r="I20" s="4"/>
      <c r="J20" s="4"/>
      <c r="K20" s="34"/>
      <c r="L20" s="36"/>
      <c r="M20" s="32" t="str">
        <f>IF(N20="","W TMS-R3-02",IF(N20=J25,I25&amp;"",IF(N20=J26,I26&amp;"","W TMS-R3-02")))</f>
        <v>Team 1</v>
      </c>
      <c r="N20" s="37" t="s">
        <v>421</v>
      </c>
      <c r="O20" s="34"/>
      <c r="P20" s="4"/>
      <c r="Q20" s="4"/>
      <c r="R20" s="4"/>
      <c r="S20" s="4"/>
      <c r="T20" s="4"/>
      <c r="U20" s="4"/>
      <c r="V20" s="4"/>
    </row>
    <row r="21" ht="16.5" customHeight="1">
      <c r="A21" s="4"/>
      <c r="B21" s="4"/>
      <c r="C21" s="34"/>
      <c r="D21" s="4"/>
      <c r="E21" s="35" t="s">
        <v>68</v>
      </c>
      <c r="F21" s="30" t="s">
        <v>421</v>
      </c>
      <c r="G21" s="31"/>
      <c r="H21" s="4"/>
      <c r="I21" s="4"/>
      <c r="J21" s="4"/>
      <c r="K21" s="34"/>
      <c r="L21" s="4"/>
      <c r="M21" s="4"/>
      <c r="N21" s="4"/>
      <c r="O21" s="34"/>
      <c r="P21" s="4"/>
      <c r="Q21" s="4"/>
      <c r="R21" s="4"/>
      <c r="S21" s="4"/>
      <c r="T21" s="4"/>
      <c r="U21" s="4"/>
      <c r="V21" s="4"/>
    </row>
    <row r="22" ht="16.5" customHeight="1">
      <c r="A22" s="4"/>
      <c r="B22" s="4"/>
      <c r="C22" s="4"/>
      <c r="D22" s="36"/>
      <c r="E22" s="32" t="str">
        <f>IF(F22="","W TMS-R1-02",IF(F22=B19,A19&amp;"",IF(F22=B20,A20&amp;"","W TMS-R1-02")))</f>
        <v>Team 3</v>
      </c>
      <c r="F22" s="37" t="s">
        <v>110</v>
      </c>
      <c r="G22" s="34"/>
      <c r="H22" s="4"/>
      <c r="I22" s="4"/>
      <c r="J22" s="4"/>
      <c r="K22" s="34"/>
      <c r="L22" s="4"/>
      <c r="M22" s="4"/>
      <c r="N22" s="4"/>
      <c r="O22" s="34"/>
      <c r="P22" s="4"/>
      <c r="Q22" s="4"/>
      <c r="R22" s="4"/>
      <c r="S22" s="4"/>
      <c r="T22" s="4"/>
      <c r="U22" s="4"/>
      <c r="V22" s="4"/>
    </row>
    <row r="23" ht="16.5" customHeight="1">
      <c r="A23" s="4"/>
      <c r="B23" s="4"/>
      <c r="C23" s="4"/>
      <c r="D23" s="4"/>
      <c r="E23" s="4"/>
      <c r="F23" s="4"/>
      <c r="G23" s="34"/>
      <c r="H23" s="4"/>
      <c r="I23" s="4"/>
      <c r="J23" s="4"/>
      <c r="K23" s="34"/>
      <c r="L23" s="4"/>
      <c r="M23" s="4"/>
      <c r="N23" s="4"/>
      <c r="O23" s="34"/>
      <c r="P23" s="4"/>
      <c r="Q23" s="4"/>
      <c r="R23" s="4"/>
      <c r="S23" s="4"/>
      <c r="T23" s="4"/>
      <c r="U23" s="4"/>
      <c r="V23" s="4"/>
    </row>
    <row r="24" ht="16.5" customHeight="1">
      <c r="A24" s="4"/>
      <c r="B24" s="4"/>
      <c r="C24" s="4"/>
      <c r="D24" s="4"/>
      <c r="E24" s="4"/>
      <c r="F24" s="4"/>
      <c r="G24" s="34"/>
      <c r="H24" s="4"/>
      <c r="I24" s="27" t="s">
        <v>425</v>
      </c>
      <c r="J24" s="28"/>
      <c r="K24" s="34"/>
      <c r="L24" s="4"/>
      <c r="M24" s="4"/>
      <c r="N24" s="4"/>
      <c r="O24" s="34"/>
      <c r="P24" s="4"/>
      <c r="Q24" s="4"/>
      <c r="R24" s="4"/>
      <c r="S24" s="4"/>
      <c r="T24" s="4"/>
      <c r="U24" s="4"/>
      <c r="V24" s="4"/>
    </row>
    <row r="25" ht="16.5" customHeight="1">
      <c r="A25" s="4"/>
      <c r="B25" s="4"/>
      <c r="C25" s="4"/>
      <c r="D25" s="4"/>
      <c r="E25" s="4"/>
      <c r="F25" s="4"/>
      <c r="G25" s="4"/>
      <c r="H25" s="36"/>
      <c r="I25" s="29" t="str">
        <f>IF(J25="","W TMS-R2-03",IF(J25=F21,E21&amp;"",IF(J25=F22,E22&amp;"","W TMS-R2-03")))</f>
        <v>Team 1</v>
      </c>
      <c r="J25" s="38" t="s">
        <v>421</v>
      </c>
      <c r="K25" s="39"/>
      <c r="L25" s="4"/>
      <c r="M25" s="4"/>
      <c r="N25" s="4"/>
      <c r="O25" s="34"/>
      <c r="P25" s="4"/>
      <c r="Q25" s="4"/>
      <c r="R25" s="4"/>
      <c r="S25" s="4"/>
      <c r="T25" s="4"/>
      <c r="U25" s="4"/>
      <c r="V25" s="4"/>
    </row>
    <row r="26" ht="16.5" customHeight="1">
      <c r="A26" s="27" t="s">
        <v>426</v>
      </c>
      <c r="B26" s="28"/>
      <c r="C26" s="4"/>
      <c r="D26" s="4"/>
      <c r="E26" s="4"/>
      <c r="F26" s="4"/>
      <c r="G26" s="34"/>
      <c r="H26" s="36"/>
      <c r="I26" s="32" t="str">
        <f>IF(J26="","W TMS-R2-04",IF(J26=F29,E29&amp;"",IF(J26=F30,E30&amp;"","W TMS-R2-04")))</f>
        <v>Team 5</v>
      </c>
      <c r="J26" s="37" t="s">
        <v>107</v>
      </c>
      <c r="K26" s="4"/>
      <c r="L26" s="4"/>
      <c r="M26" s="4"/>
      <c r="N26" s="4"/>
      <c r="O26" s="34"/>
      <c r="P26" s="4"/>
      <c r="Q26" s="4"/>
      <c r="R26" s="4"/>
      <c r="S26" s="4"/>
      <c r="T26" s="4"/>
      <c r="U26" s="4"/>
      <c r="V26" s="4"/>
    </row>
    <row r="27" ht="16.5" customHeight="1">
      <c r="A27" s="29" t="s">
        <v>86</v>
      </c>
      <c r="B27" s="30" t="s">
        <v>427</v>
      </c>
      <c r="C27" s="31"/>
      <c r="D27" s="4"/>
      <c r="E27" s="4"/>
      <c r="F27" s="4"/>
      <c r="G27" s="34"/>
      <c r="H27" s="4"/>
      <c r="I27" s="4"/>
      <c r="J27" s="4"/>
      <c r="K27" s="4"/>
      <c r="L27" s="4"/>
      <c r="M27" s="4"/>
      <c r="N27" s="4"/>
      <c r="O27" s="34"/>
      <c r="P27" s="4"/>
      <c r="Q27" s="4"/>
      <c r="R27" s="4"/>
      <c r="S27" s="4"/>
      <c r="T27" s="4"/>
      <c r="U27" s="4"/>
      <c r="V27" s="4"/>
    </row>
    <row r="28" ht="16.5" customHeight="1">
      <c r="A28" s="32" t="s">
        <v>68</v>
      </c>
      <c r="B28" s="33" t="s">
        <v>428</v>
      </c>
      <c r="C28" s="34"/>
      <c r="D28" s="4"/>
      <c r="E28" s="27" t="s">
        <v>429</v>
      </c>
      <c r="F28" s="28"/>
      <c r="G28" s="34"/>
      <c r="H28" s="4"/>
      <c r="I28" s="4"/>
      <c r="J28" s="4"/>
      <c r="K28" s="4"/>
      <c r="L28" s="4"/>
      <c r="M28" s="4"/>
      <c r="N28" s="4"/>
      <c r="O28" s="34"/>
      <c r="P28" s="4"/>
      <c r="Q28" s="4"/>
      <c r="R28" s="4"/>
      <c r="S28" s="4"/>
      <c r="T28" s="4"/>
      <c r="U28" s="4"/>
      <c r="V28" s="4"/>
    </row>
    <row r="29" ht="16.5" customHeight="1">
      <c r="A29" s="4"/>
      <c r="B29" s="4"/>
      <c r="C29" s="34"/>
      <c r="D29" s="4"/>
      <c r="E29" s="35" t="s">
        <v>86</v>
      </c>
      <c r="F29" s="30" t="s">
        <v>107</v>
      </c>
      <c r="G29" s="39"/>
      <c r="H29" s="4"/>
      <c r="I29" s="4"/>
      <c r="J29" s="4"/>
      <c r="K29" s="4"/>
      <c r="L29" s="4"/>
      <c r="M29" s="4"/>
      <c r="N29" s="4"/>
      <c r="O29" s="34"/>
      <c r="P29" s="4"/>
      <c r="Q29" s="4"/>
      <c r="R29" s="4"/>
      <c r="S29" s="4"/>
      <c r="T29" s="4"/>
      <c r="U29" s="4"/>
      <c r="V29" s="4"/>
    </row>
    <row r="30" ht="16.5" customHeight="1">
      <c r="A30" s="4"/>
      <c r="B30" s="4"/>
      <c r="C30" s="4"/>
      <c r="D30" s="36"/>
      <c r="E30" s="32" t="str">
        <f>IF(F30="","W TMS-R1-03",IF(F30=B27,A27&amp;"",IF(F30=B28,A28&amp;"","W TMS-R1-03")))</f>
        <v>Team 1</v>
      </c>
      <c r="F30" s="37" t="s">
        <v>428</v>
      </c>
      <c r="G30" s="4"/>
      <c r="H30" s="4"/>
      <c r="I30" s="4"/>
      <c r="J30" s="4"/>
      <c r="K30" s="4"/>
      <c r="L30" s="4"/>
      <c r="M30" s="4"/>
      <c r="N30" s="4"/>
      <c r="O30" s="34"/>
      <c r="P30" s="4"/>
      <c r="Q30" s="4"/>
      <c r="R30" s="4"/>
      <c r="S30" s="4"/>
      <c r="T30" s="4"/>
      <c r="U30" s="4"/>
      <c r="V30" s="4"/>
    </row>
    <row r="31" ht="16.5" customHeight="1">
      <c r="A31" s="4"/>
      <c r="B31" s="4"/>
      <c r="C31" s="4"/>
      <c r="D31" s="4"/>
      <c r="E31" s="4"/>
      <c r="F31" s="4"/>
      <c r="G31" s="4"/>
      <c r="H31" s="4"/>
      <c r="I31" s="4"/>
      <c r="J31" s="4"/>
      <c r="K31" s="4"/>
      <c r="L31" s="4"/>
      <c r="M31" s="4"/>
      <c r="N31" s="4"/>
      <c r="O31" s="34"/>
      <c r="P31" s="4"/>
      <c r="Q31" s="4"/>
      <c r="R31" s="4"/>
      <c r="S31" s="4"/>
      <c r="T31" s="4"/>
      <c r="U31" s="4"/>
      <c r="V31" s="4"/>
    </row>
    <row r="32" ht="16.5" customHeight="1">
      <c r="A32" s="4"/>
      <c r="B32" s="4"/>
      <c r="C32" s="4"/>
      <c r="D32" s="4"/>
      <c r="E32" s="4"/>
      <c r="F32" s="4"/>
      <c r="G32" s="4"/>
      <c r="H32" s="4"/>
      <c r="I32" s="4"/>
      <c r="J32" s="4"/>
      <c r="K32" s="4"/>
      <c r="L32" s="4"/>
      <c r="M32" s="4"/>
      <c r="N32" s="4"/>
      <c r="O32" s="34"/>
      <c r="P32" s="4"/>
      <c r="Q32" s="27" t="s">
        <v>430</v>
      </c>
      <c r="R32" s="28"/>
      <c r="S32" s="4"/>
      <c r="T32" s="4"/>
      <c r="U32" s="46" t="s">
        <v>113</v>
      </c>
      <c r="V32" s="17"/>
    </row>
    <row r="33" ht="16.5" customHeight="1">
      <c r="A33" s="4"/>
      <c r="B33" s="4"/>
      <c r="C33" s="4"/>
      <c r="D33" s="4"/>
      <c r="E33" s="4"/>
      <c r="F33" s="4"/>
      <c r="G33" s="4"/>
      <c r="H33" s="4"/>
      <c r="I33" s="4"/>
      <c r="J33" s="4"/>
      <c r="K33" s="4"/>
      <c r="L33" s="4"/>
      <c r="M33" s="4"/>
      <c r="N33" s="4"/>
      <c r="O33" s="4"/>
      <c r="P33" s="36"/>
      <c r="Q33" s="29" t="str">
        <f>IF(R33="","W TMS-R4-01",IF(R33=N19,M19&amp;"",IF(R33=N20,M20&amp;"","W TMS-R4-01")))</f>
        <v>Team 3</v>
      </c>
      <c r="R33" s="38" t="s">
        <v>290</v>
      </c>
      <c r="S33" s="31"/>
      <c r="T33" s="31"/>
      <c r="U33" s="48" t="str">
        <f>IF(V33="","W TMS-R5-01",IF(V33=R33,Q33&amp;"",IF(V33=R34,Q34&amp;"","W TMS-R5-01")))</f>
        <v>W TMS-R5-01</v>
      </c>
      <c r="V33" s="49"/>
    </row>
    <row r="34" ht="16.5" customHeight="1">
      <c r="A34" s="27" t="s">
        <v>431</v>
      </c>
      <c r="B34" s="28"/>
      <c r="C34" s="4"/>
      <c r="D34" s="4"/>
      <c r="E34" s="4"/>
      <c r="F34" s="4"/>
      <c r="G34" s="4"/>
      <c r="H34" s="4"/>
      <c r="I34" s="4"/>
      <c r="J34" s="4"/>
      <c r="K34" s="4"/>
      <c r="L34" s="4"/>
      <c r="M34" s="4"/>
      <c r="N34" s="4"/>
      <c r="O34" s="34"/>
      <c r="P34" s="36"/>
      <c r="Q34" s="32" t="str">
        <f>IF(R34="","W TMS-R4-02",IF(R34=N47,M47&amp;"",IF(R34=N48,M48&amp;"","W TMS-R4-02")))</f>
        <v>Team 1</v>
      </c>
      <c r="R34" s="37" t="s">
        <v>435</v>
      </c>
      <c r="S34" s="4"/>
      <c r="T34" s="4"/>
      <c r="U34" s="50" t="s">
        <v>116</v>
      </c>
      <c r="V34" s="17"/>
    </row>
    <row r="35" ht="16.5" customHeight="1">
      <c r="A35" s="29" t="s">
        <v>68</v>
      </c>
      <c r="B35" s="30" t="s">
        <v>436</v>
      </c>
      <c r="C35" s="31"/>
      <c r="D35" s="4"/>
      <c r="E35" s="4"/>
      <c r="F35" s="4"/>
      <c r="G35" s="4"/>
      <c r="H35" s="4"/>
      <c r="I35" s="4"/>
      <c r="J35" s="4"/>
      <c r="K35" s="4"/>
      <c r="L35" s="4"/>
      <c r="M35" s="4"/>
      <c r="N35" s="4"/>
      <c r="O35" s="34"/>
      <c r="P35" s="4"/>
      <c r="Q35" s="4"/>
      <c r="R35" s="4"/>
      <c r="S35" s="4"/>
      <c r="T35" s="4"/>
      <c r="U35" s="55" t="str">
        <f>IF(V33="","L final",IF(V33=R33,Q34&amp;"",IF(V33=R34,Q33&amp;"","L final")))</f>
        <v>L final</v>
      </c>
      <c r="V35" s="56" t="str">
        <f>IF(V33="","",IF(V33=R33,R34&amp;"",IF(V33=R34,R33&amp;"","")))</f>
        <v/>
      </c>
    </row>
    <row r="36" ht="16.5" customHeight="1">
      <c r="A36" s="32" t="s">
        <v>66</v>
      </c>
      <c r="B36" s="33" t="s">
        <v>438</v>
      </c>
      <c r="C36" s="34"/>
      <c r="D36" s="4"/>
      <c r="E36" s="27" t="s">
        <v>441</v>
      </c>
      <c r="F36" s="28"/>
      <c r="G36" s="4"/>
      <c r="H36" s="4"/>
      <c r="I36" s="4"/>
      <c r="J36" s="4"/>
      <c r="K36" s="4"/>
      <c r="L36" s="4"/>
      <c r="M36" s="4"/>
      <c r="N36" s="4"/>
      <c r="O36" s="34"/>
      <c r="P36" s="4"/>
      <c r="Q36" s="4"/>
      <c r="R36" s="4"/>
      <c r="S36" s="4"/>
      <c r="T36" s="4"/>
      <c r="U36" s="4"/>
      <c r="V36" s="4"/>
    </row>
    <row r="37" ht="16.5" customHeight="1">
      <c r="A37" s="4"/>
      <c r="B37" s="4"/>
      <c r="C37" s="34"/>
      <c r="D37" s="4"/>
      <c r="E37" s="35" t="s">
        <v>71</v>
      </c>
      <c r="F37" s="30" t="s">
        <v>443</v>
      </c>
      <c r="G37" s="31"/>
      <c r="H37" s="4"/>
      <c r="I37" s="4"/>
      <c r="J37" s="4"/>
      <c r="K37" s="4"/>
      <c r="L37" s="4"/>
      <c r="M37" s="4"/>
      <c r="N37" s="4"/>
      <c r="O37" s="34"/>
      <c r="P37" s="4"/>
      <c r="Q37" s="57" t="s">
        <v>444</v>
      </c>
      <c r="R37" s="28"/>
      <c r="S37" s="4"/>
      <c r="T37" s="4"/>
      <c r="U37" s="59" t="s">
        <v>121</v>
      </c>
      <c r="V37" s="17"/>
    </row>
    <row r="38" ht="16.5" customHeight="1">
      <c r="A38" s="4"/>
      <c r="B38" s="4"/>
      <c r="C38" s="4"/>
      <c r="D38" s="36"/>
      <c r="E38" s="32" t="str">
        <f>IF(F38="","W TMS-R1-04",IF(F38=B35,A35&amp;"",IF(F38=B36,A36&amp;"","W TMS-R1-04")))</f>
        <v>Team 1</v>
      </c>
      <c r="F38" s="37" t="s">
        <v>436</v>
      </c>
      <c r="G38" s="34"/>
      <c r="H38" s="4"/>
      <c r="I38" s="4"/>
      <c r="J38" s="4"/>
      <c r="K38" s="4"/>
      <c r="L38" s="4"/>
      <c r="M38" s="4"/>
      <c r="N38" s="4"/>
      <c r="O38" s="34"/>
      <c r="P38" s="4"/>
      <c r="Q38" s="29" t="str">
        <f>IF(R33="","L TMS-R4-01",IF(R33=N19,M20&amp;"",IF(R33=N20,M19&amp;"","L TMS-R4-01")))</f>
        <v>Team 1</v>
      </c>
      <c r="R38" s="21" t="str">
        <f>IF(R33="","",IF(R33=N19,N20&amp;"",IF(R33=N20,N19&amp;"","")))</f>
        <v>Amit</v>
      </c>
      <c r="S38" s="31"/>
      <c r="T38" s="31"/>
      <c r="U38" s="60" t="str">
        <f>IF(V38="","W TMS-3P-01",IF(V38=R38,Q38&amp;"",IF(V38=R39,Q39&amp;"","W TMS-3P-01")))</f>
        <v>Team 1</v>
      </c>
      <c r="V38" s="61" t="s">
        <v>421</v>
      </c>
    </row>
    <row r="39" ht="16.5" customHeight="1">
      <c r="A39" s="4"/>
      <c r="B39" s="4"/>
      <c r="C39" s="4"/>
      <c r="D39" s="4"/>
      <c r="E39" s="4"/>
      <c r="F39" s="4"/>
      <c r="G39" s="34"/>
      <c r="H39" s="4"/>
      <c r="I39" s="27" t="s">
        <v>458</v>
      </c>
      <c r="J39" s="28"/>
      <c r="K39" s="4"/>
      <c r="L39" s="4"/>
      <c r="M39" s="4"/>
      <c r="N39" s="4"/>
      <c r="O39" s="34"/>
      <c r="P39" s="4"/>
      <c r="Q39" s="32" t="str">
        <f>IF(R34="","L TMS-R4-02",IF(R34=N47,M48&amp;"",IF(R34=N48,M47&amp;"","L TMS-R4-02")))</f>
        <v>Team 2</v>
      </c>
      <c r="R39" s="62" t="str">
        <f>IF(R34="","",IF(R34=N47,N48&amp;"",IF(R34=N48,N47&amp;"","")))</f>
        <v>Thomas</v>
      </c>
      <c r="S39" s="4"/>
      <c r="T39" s="4"/>
      <c r="U39" s="4"/>
      <c r="V39" s="4"/>
    </row>
    <row r="40" ht="16.5" customHeight="1">
      <c r="A40" s="4"/>
      <c r="B40" s="4"/>
      <c r="C40" s="4"/>
      <c r="D40" s="4"/>
      <c r="E40" s="4"/>
      <c r="F40" s="4"/>
      <c r="G40" s="4"/>
      <c r="H40" s="36"/>
      <c r="I40" s="29" t="str">
        <f>IF(J40="","W TMS-R2-05",IF(J40=F37,E37&amp;"",IF(J40=F38,E38&amp;"","W TMS-R2-05")))</f>
        <v>Team 2</v>
      </c>
      <c r="J40" s="38" t="s">
        <v>443</v>
      </c>
      <c r="K40" s="31"/>
      <c r="L40" s="4"/>
      <c r="M40" s="4"/>
      <c r="N40" s="4"/>
      <c r="O40" s="34"/>
      <c r="P40" s="4"/>
      <c r="Q40" s="4"/>
      <c r="R40" s="4"/>
      <c r="S40" s="4"/>
      <c r="T40" s="4"/>
      <c r="U40" s="4"/>
      <c r="V40" s="4"/>
    </row>
    <row r="41" ht="16.5" customHeight="1">
      <c r="A41" s="4"/>
      <c r="B41" s="4"/>
      <c r="C41" s="4"/>
      <c r="D41" s="4"/>
      <c r="E41" s="4"/>
      <c r="F41" s="4"/>
      <c r="G41" s="34"/>
      <c r="H41" s="36"/>
      <c r="I41" s="32" t="str">
        <f>IF(J41="","W TMS-R2-06",IF(J41=F43,E43&amp;"",IF(J41=F44,E44&amp;"","W TMS-R2-06")))</f>
        <v>Team 4</v>
      </c>
      <c r="J41" s="37" t="s">
        <v>470</v>
      </c>
      <c r="K41" s="34"/>
      <c r="L41" s="4"/>
      <c r="M41" s="4"/>
      <c r="N41" s="4"/>
      <c r="O41" s="34"/>
      <c r="P41" s="4"/>
      <c r="Q41" s="4"/>
      <c r="R41" s="4"/>
      <c r="S41" s="4"/>
      <c r="T41" s="4"/>
      <c r="U41" s="4"/>
      <c r="V41" s="4"/>
    </row>
    <row r="42" ht="16.5" customHeight="1">
      <c r="A42" s="4"/>
      <c r="B42" s="4"/>
      <c r="C42" s="4"/>
      <c r="D42" s="4"/>
      <c r="E42" s="27" t="s">
        <v>471</v>
      </c>
      <c r="F42" s="28"/>
      <c r="G42" s="34"/>
      <c r="H42" s="4"/>
      <c r="I42" s="4"/>
      <c r="J42" s="4"/>
      <c r="K42" s="34"/>
      <c r="L42" s="4"/>
      <c r="M42" s="4"/>
      <c r="N42" s="4"/>
      <c r="O42" s="34"/>
      <c r="P42" s="4"/>
      <c r="Q42" s="4"/>
      <c r="R42" s="4"/>
      <c r="S42" s="4"/>
      <c r="T42" s="4"/>
      <c r="U42" s="4"/>
      <c r="V42" s="4"/>
    </row>
    <row r="43" ht="16.5" customHeight="1">
      <c r="A43" s="4"/>
      <c r="B43" s="4"/>
      <c r="C43" s="4"/>
      <c r="D43" s="4"/>
      <c r="E43" s="35" t="s">
        <v>68</v>
      </c>
      <c r="F43" s="30" t="s">
        <v>472</v>
      </c>
      <c r="G43" s="39"/>
      <c r="H43" s="4"/>
      <c r="I43" s="4"/>
      <c r="J43" s="4"/>
      <c r="K43" s="34"/>
      <c r="L43" s="4"/>
      <c r="M43" s="4"/>
      <c r="N43" s="4"/>
      <c r="O43" s="34"/>
      <c r="P43" s="4"/>
      <c r="Q43" s="4"/>
      <c r="R43" s="4"/>
      <c r="S43" s="4"/>
      <c r="T43" s="4"/>
      <c r="U43" s="4"/>
      <c r="V43" s="4"/>
    </row>
    <row r="44" ht="16.5" customHeight="1">
      <c r="A44" s="4"/>
      <c r="B44" s="4"/>
      <c r="C44" s="4"/>
      <c r="D44" s="4"/>
      <c r="E44" s="66" t="s">
        <v>82</v>
      </c>
      <c r="F44" s="33" t="s">
        <v>470</v>
      </c>
      <c r="G44" s="4"/>
      <c r="H44" s="4"/>
      <c r="I44" s="4"/>
      <c r="J44" s="4"/>
      <c r="K44" s="34"/>
      <c r="L44" s="4"/>
      <c r="M44" s="4"/>
      <c r="N44" s="4"/>
      <c r="O44" s="34"/>
      <c r="P44" s="4"/>
      <c r="Q44" s="4"/>
      <c r="R44" s="4"/>
      <c r="S44" s="4"/>
      <c r="T44" s="4"/>
      <c r="U44" s="4"/>
      <c r="V44" s="4"/>
    </row>
    <row r="45" ht="16.5" customHeight="1">
      <c r="A45" s="4"/>
      <c r="B45" s="4"/>
      <c r="C45" s="4"/>
      <c r="D45" s="4"/>
      <c r="E45" s="4"/>
      <c r="F45" s="4"/>
      <c r="G45" s="4"/>
      <c r="H45" s="4"/>
      <c r="I45" s="4"/>
      <c r="J45" s="4"/>
      <c r="K45" s="34"/>
      <c r="L45" s="4"/>
      <c r="M45" s="4"/>
      <c r="N45" s="4"/>
      <c r="O45" s="34"/>
      <c r="P45" s="4"/>
      <c r="Q45" s="4"/>
      <c r="R45" s="4"/>
      <c r="S45" s="4"/>
      <c r="T45" s="4"/>
      <c r="U45" s="4"/>
      <c r="V45" s="4"/>
    </row>
    <row r="46" ht="16.5" customHeight="1">
      <c r="A46" s="27" t="s">
        <v>477</v>
      </c>
      <c r="B46" s="28"/>
      <c r="C46" s="4"/>
      <c r="D46" s="4"/>
      <c r="E46" s="4"/>
      <c r="F46" s="4"/>
      <c r="G46" s="4"/>
      <c r="H46" s="4"/>
      <c r="I46" s="4"/>
      <c r="J46" s="4"/>
      <c r="K46" s="34"/>
      <c r="L46" s="4"/>
      <c r="M46" s="27" t="s">
        <v>479</v>
      </c>
      <c r="N46" s="28"/>
      <c r="O46" s="34"/>
      <c r="P46" s="4"/>
      <c r="Q46" s="4"/>
      <c r="R46" s="4"/>
      <c r="S46" s="4"/>
      <c r="T46" s="4"/>
      <c r="U46" s="4"/>
      <c r="V46" s="4"/>
    </row>
    <row r="47" ht="16.5" customHeight="1">
      <c r="A47" s="29" t="s">
        <v>82</v>
      </c>
      <c r="B47" s="30" t="s">
        <v>140</v>
      </c>
      <c r="C47" s="31"/>
      <c r="D47" s="4"/>
      <c r="E47" s="4"/>
      <c r="F47" s="4"/>
      <c r="G47" s="4"/>
      <c r="H47" s="4"/>
      <c r="I47" s="4"/>
      <c r="J47" s="4"/>
      <c r="K47" s="4"/>
      <c r="L47" s="36"/>
      <c r="M47" s="29" t="str">
        <f>IF(N47="","W TMS-R3-03",IF(N47=J40,I40&amp;"",IF(N47=J41,I41&amp;"","W TMS-R3-03")))</f>
        <v>Team 2</v>
      </c>
      <c r="N47" s="38" t="s">
        <v>443</v>
      </c>
      <c r="O47" s="39"/>
      <c r="P47" s="4"/>
      <c r="Q47" s="4"/>
      <c r="R47" s="4"/>
      <c r="S47" s="4"/>
      <c r="T47" s="4"/>
      <c r="U47" s="4"/>
      <c r="V47" s="4"/>
    </row>
    <row r="48" ht="16.5" customHeight="1">
      <c r="A48" s="32" t="s">
        <v>77</v>
      </c>
      <c r="B48" s="33" t="s">
        <v>482</v>
      </c>
      <c r="C48" s="34"/>
      <c r="D48" s="4"/>
      <c r="E48" s="27" t="s">
        <v>483</v>
      </c>
      <c r="F48" s="28"/>
      <c r="G48" s="4"/>
      <c r="H48" s="4"/>
      <c r="I48" s="4"/>
      <c r="J48" s="4"/>
      <c r="K48" s="34"/>
      <c r="L48" s="36"/>
      <c r="M48" s="32" t="str">
        <f>IF(N48="","W TMS-R3-04",IF(N48=J53,I53&amp;"",IF(N48=J54,I54&amp;"","W TMS-R3-04")))</f>
        <v>Team 1</v>
      </c>
      <c r="N48" s="37" t="s">
        <v>435</v>
      </c>
      <c r="O48" s="4"/>
      <c r="P48" s="4"/>
      <c r="Q48" s="4"/>
      <c r="R48" s="4"/>
      <c r="S48" s="4"/>
      <c r="T48" s="4"/>
      <c r="U48" s="4"/>
      <c r="V48" s="4"/>
    </row>
    <row r="49" ht="16.5" customHeight="1">
      <c r="A49" s="4"/>
      <c r="B49" s="4"/>
      <c r="C49" s="34"/>
      <c r="D49" s="4"/>
      <c r="E49" s="35" t="s">
        <v>71</v>
      </c>
      <c r="F49" s="30" t="s">
        <v>118</v>
      </c>
      <c r="G49" s="31"/>
      <c r="H49" s="4"/>
      <c r="I49" s="4"/>
      <c r="J49" s="4"/>
      <c r="K49" s="34"/>
      <c r="L49" s="4"/>
      <c r="M49" s="4"/>
      <c r="N49" s="4"/>
      <c r="O49" s="4"/>
      <c r="P49" s="4"/>
      <c r="Q49" s="4"/>
      <c r="R49" s="4"/>
      <c r="S49" s="4"/>
      <c r="T49" s="4"/>
      <c r="U49" s="4"/>
      <c r="V49" s="4"/>
    </row>
    <row r="50" ht="16.5" customHeight="1">
      <c r="A50" s="4"/>
      <c r="B50" s="4"/>
      <c r="C50" s="4"/>
      <c r="D50" s="36"/>
      <c r="E50" s="32" t="str">
        <f>IF(F50="","W TMS-R1-05",IF(F50=B47,A47&amp;"",IF(F50=B48,A48&amp;"","W TMS-R1-05")))</f>
        <v>Team 4</v>
      </c>
      <c r="F50" s="37" t="s">
        <v>140</v>
      </c>
      <c r="G50" s="34"/>
      <c r="H50" s="4"/>
      <c r="I50" s="4"/>
      <c r="J50" s="4"/>
      <c r="K50" s="34"/>
      <c r="L50" s="4"/>
      <c r="M50" s="4"/>
      <c r="N50" s="4"/>
      <c r="O50" s="4"/>
      <c r="P50" s="4"/>
      <c r="Q50" s="4"/>
      <c r="R50" s="4"/>
      <c r="S50" s="4"/>
      <c r="T50" s="4"/>
      <c r="U50" s="4"/>
      <c r="V50" s="4"/>
    </row>
    <row r="51" ht="16.5" customHeight="1">
      <c r="A51" s="4"/>
      <c r="B51" s="4"/>
      <c r="C51" s="4"/>
      <c r="D51" s="4"/>
      <c r="E51" s="4"/>
      <c r="F51" s="4"/>
      <c r="G51" s="34"/>
      <c r="H51" s="4"/>
      <c r="I51" s="4"/>
      <c r="J51" s="4"/>
      <c r="K51" s="34"/>
      <c r="L51" s="4"/>
      <c r="M51" s="4"/>
      <c r="N51" s="4"/>
      <c r="O51" s="4"/>
      <c r="P51" s="4"/>
      <c r="Q51" s="4"/>
      <c r="R51" s="4"/>
      <c r="S51" s="4"/>
      <c r="T51" s="4"/>
      <c r="U51" s="4"/>
      <c r="V51" s="4"/>
    </row>
    <row r="52" ht="16.5" customHeight="1">
      <c r="A52" s="4"/>
      <c r="B52" s="4"/>
      <c r="C52" s="4"/>
      <c r="D52" s="4"/>
      <c r="E52" s="4"/>
      <c r="F52" s="4"/>
      <c r="G52" s="34"/>
      <c r="H52" s="4"/>
      <c r="I52" s="27" t="s">
        <v>492</v>
      </c>
      <c r="J52" s="28"/>
      <c r="K52" s="34"/>
      <c r="L52" s="4"/>
      <c r="M52" s="4"/>
      <c r="N52" s="4"/>
      <c r="O52" s="4"/>
      <c r="P52" s="4"/>
      <c r="Q52" s="4"/>
      <c r="R52" s="4"/>
      <c r="S52" s="4"/>
      <c r="T52" s="4"/>
      <c r="U52" s="4"/>
      <c r="V52" s="4"/>
    </row>
    <row r="53" ht="16.5" customHeight="1">
      <c r="A53" s="4"/>
      <c r="B53" s="4"/>
      <c r="C53" s="4"/>
      <c r="D53" s="4"/>
      <c r="E53" s="4"/>
      <c r="F53" s="4"/>
      <c r="G53" s="4"/>
      <c r="H53" s="36"/>
      <c r="I53" s="29" t="str">
        <f>IF(J53="","W TMS-R2-07",IF(J53=F49,E49&amp;"",IF(J53=F50,E50&amp;"","W TMS-R2-07")))</f>
        <v>Team 4</v>
      </c>
      <c r="J53" s="38" t="s">
        <v>140</v>
      </c>
      <c r="K53" s="39"/>
      <c r="L53" s="4"/>
      <c r="M53" s="4"/>
      <c r="N53" s="4"/>
      <c r="O53" s="4"/>
      <c r="P53" s="4"/>
      <c r="Q53" s="4"/>
      <c r="R53" s="4"/>
      <c r="S53" s="4"/>
      <c r="T53" s="4"/>
      <c r="U53" s="4"/>
      <c r="V53" s="4"/>
    </row>
    <row r="54" ht="16.5" customHeight="1">
      <c r="A54" s="27" t="s">
        <v>496</v>
      </c>
      <c r="B54" s="28"/>
      <c r="C54" s="4"/>
      <c r="D54" s="4"/>
      <c r="E54" s="4"/>
      <c r="F54" s="4"/>
      <c r="G54" s="34"/>
      <c r="H54" s="36"/>
      <c r="I54" s="32" t="str">
        <f>IF(J54="","W TMS-R2-08",IF(J54=F57,E57&amp;"",IF(J54=F58,E58&amp;"","W TMS-R2-08")))</f>
        <v>Team 1</v>
      </c>
      <c r="J54" s="37" t="s">
        <v>435</v>
      </c>
      <c r="K54" s="4"/>
      <c r="L54" s="4"/>
      <c r="M54" s="4"/>
      <c r="N54" s="4"/>
      <c r="O54" s="4"/>
      <c r="P54" s="4"/>
      <c r="Q54" s="4"/>
      <c r="R54" s="4"/>
      <c r="S54" s="4"/>
      <c r="T54" s="4"/>
      <c r="U54" s="4"/>
      <c r="V54" s="4"/>
    </row>
    <row r="55" ht="16.5" customHeight="1">
      <c r="A55" s="29" t="s">
        <v>82</v>
      </c>
      <c r="B55" s="30" t="s">
        <v>500</v>
      </c>
      <c r="C55" s="31"/>
      <c r="D55" s="4"/>
      <c r="E55" s="4"/>
      <c r="F55" s="4"/>
      <c r="G55" s="34"/>
      <c r="H55" s="4"/>
      <c r="I55" s="4"/>
      <c r="J55" s="4"/>
      <c r="K55" s="4"/>
      <c r="L55" s="4"/>
      <c r="M55" s="4"/>
      <c r="N55" s="4"/>
      <c r="O55" s="4"/>
      <c r="P55" s="4"/>
      <c r="Q55" s="4"/>
      <c r="R55" s="4"/>
      <c r="S55" s="4"/>
      <c r="T55" s="4"/>
      <c r="U55" s="4"/>
      <c r="V55" s="4"/>
    </row>
    <row r="56" ht="16.5" customHeight="1">
      <c r="A56" s="32" t="s">
        <v>68</v>
      </c>
      <c r="B56" s="33" t="s">
        <v>435</v>
      </c>
      <c r="C56" s="34"/>
      <c r="D56" s="4"/>
      <c r="E56" s="27" t="s">
        <v>502</v>
      </c>
      <c r="F56" s="28"/>
      <c r="G56" s="34"/>
      <c r="H56" s="4"/>
      <c r="I56" s="4"/>
      <c r="J56" s="4"/>
      <c r="K56" s="4"/>
      <c r="L56" s="4"/>
      <c r="M56" s="4"/>
      <c r="N56" s="4"/>
      <c r="O56" s="4"/>
      <c r="P56" s="4"/>
      <c r="Q56" s="4"/>
      <c r="R56" s="4"/>
      <c r="S56" s="4"/>
      <c r="T56" s="4"/>
      <c r="U56" s="4"/>
      <c r="V56" s="4"/>
    </row>
    <row r="57" ht="16.5" customHeight="1">
      <c r="A57" s="4"/>
      <c r="B57" s="4"/>
      <c r="C57" s="34"/>
      <c r="D57" s="4"/>
      <c r="E57" s="35" t="s">
        <v>77</v>
      </c>
      <c r="F57" s="30" t="s">
        <v>503</v>
      </c>
      <c r="G57" s="39"/>
      <c r="H57" s="4"/>
      <c r="I57" s="4"/>
      <c r="J57" s="4"/>
      <c r="K57" s="4"/>
      <c r="L57" s="4"/>
      <c r="M57" s="4"/>
      <c r="N57" s="4"/>
      <c r="O57" s="4"/>
      <c r="P57" s="4"/>
      <c r="Q57" s="4"/>
      <c r="R57" s="4"/>
      <c r="S57" s="4"/>
      <c r="T57" s="4"/>
      <c r="U57" s="4"/>
      <c r="V57" s="4"/>
    </row>
    <row r="58" ht="16.5" customHeight="1">
      <c r="A58" s="4"/>
      <c r="B58" s="4"/>
      <c r="C58" s="4"/>
      <c r="D58" s="36"/>
      <c r="E58" s="32" t="str">
        <f>IF(F58="","W TMS-R1-06",IF(F58=B55,A55&amp;"",IF(F58=B56,A56&amp;"","W TMS-R1-06")))</f>
        <v>Team 1</v>
      </c>
      <c r="F58" s="37" t="s">
        <v>435</v>
      </c>
      <c r="G58" s="4"/>
      <c r="H58" s="4"/>
      <c r="I58" s="4"/>
      <c r="J58" s="64" t="s">
        <v>506</v>
      </c>
      <c r="K58" s="69" t="s">
        <v>506</v>
      </c>
      <c r="L58" s="4"/>
      <c r="M58" s="4"/>
      <c r="N58" s="4"/>
      <c r="O58" s="4"/>
      <c r="P58" s="4"/>
      <c r="Q58" s="4"/>
      <c r="R58" s="4"/>
      <c r="S58" s="4"/>
      <c r="T58" s="4"/>
      <c r="U58" s="4"/>
      <c r="V58" s="4"/>
    </row>
    <row r="59" ht="16.5" customHeight="1">
      <c r="A59" s="4"/>
      <c r="B59" s="4"/>
      <c r="C59" s="4"/>
      <c r="D59" s="4"/>
      <c r="E59" s="4"/>
      <c r="F59" s="4"/>
      <c r="G59" s="4"/>
      <c r="H59" s="4"/>
      <c r="I59" s="4"/>
      <c r="J59" s="4"/>
      <c r="K59" s="4"/>
      <c r="L59" s="4"/>
      <c r="M59" s="4"/>
      <c r="N59" s="4"/>
      <c r="O59" s="4"/>
      <c r="P59" s="4"/>
      <c r="Q59" s="4"/>
      <c r="R59" s="4"/>
      <c r="S59" s="4"/>
      <c r="T59" s="4"/>
      <c r="U59" s="4"/>
      <c r="V59" s="4"/>
    </row>
    <row r="60" ht="16.5" customHeight="1">
      <c r="A60" s="4"/>
      <c r="B60" s="4"/>
      <c r="C60" s="4"/>
      <c r="D60" s="4"/>
      <c r="E60" s="4"/>
      <c r="F60" s="4"/>
      <c r="G60" s="4"/>
      <c r="H60" s="4"/>
      <c r="I60" s="4"/>
      <c r="J60" s="4"/>
      <c r="K60" s="4"/>
      <c r="L60" s="4"/>
      <c r="M60" s="4"/>
      <c r="N60" s="4"/>
      <c r="O60" s="4"/>
      <c r="P60" s="4"/>
      <c r="Q60" s="4"/>
      <c r="R60" s="4"/>
      <c r="S60" s="4"/>
      <c r="T60" s="4"/>
      <c r="U60" s="4"/>
      <c r="V60" s="4"/>
    </row>
    <row r="61" ht="16.5" customHeight="1">
      <c r="A61" s="4"/>
      <c r="B61" s="4"/>
      <c r="C61" s="4"/>
      <c r="D61" s="4"/>
      <c r="E61" s="4"/>
      <c r="F61" s="4"/>
      <c r="G61" s="4"/>
      <c r="H61" s="4"/>
      <c r="I61" s="4"/>
      <c r="J61" s="4"/>
      <c r="K61" s="4"/>
      <c r="L61" s="4"/>
      <c r="M61" s="4"/>
      <c r="N61" s="4"/>
      <c r="O61" s="4"/>
      <c r="P61" s="4"/>
      <c r="Q61" s="4"/>
      <c r="R61" s="4"/>
      <c r="S61" s="4"/>
      <c r="T61" s="4"/>
      <c r="U61" s="4"/>
      <c r="V61" s="4"/>
    </row>
    <row r="62" ht="16.5" customHeight="1">
      <c r="A62" s="4"/>
      <c r="B62" s="4"/>
      <c r="C62" s="4"/>
      <c r="D62" s="4"/>
      <c r="E62" s="4"/>
      <c r="F62" s="4"/>
      <c r="G62" s="4"/>
      <c r="H62" s="4"/>
      <c r="I62" s="4"/>
      <c r="J62" s="4"/>
      <c r="K62" s="4"/>
      <c r="L62" s="4"/>
      <c r="M62" s="4"/>
      <c r="N62" s="4"/>
      <c r="O62" s="4"/>
      <c r="P62" s="4"/>
      <c r="Q62" s="4"/>
      <c r="R62" s="4"/>
      <c r="S62" s="4"/>
      <c r="T62" s="4"/>
      <c r="U62" s="4"/>
      <c r="V62" s="4"/>
    </row>
    <row r="63" ht="16.5" customHeight="1">
      <c r="A63" s="4"/>
      <c r="B63" s="4"/>
      <c r="C63" s="4"/>
      <c r="D63" s="4"/>
      <c r="E63" s="4"/>
      <c r="F63" s="4"/>
      <c r="G63" s="4"/>
      <c r="H63" s="4"/>
      <c r="I63" s="4"/>
      <c r="J63" s="4"/>
      <c r="K63" s="4"/>
      <c r="L63" s="4"/>
      <c r="M63" s="4"/>
      <c r="N63" s="4"/>
      <c r="O63" s="4"/>
      <c r="P63" s="4"/>
      <c r="Q63" s="4"/>
      <c r="R63" s="4"/>
      <c r="S63" s="4"/>
      <c r="T63" s="4"/>
      <c r="U63" s="4"/>
      <c r="V63" s="4"/>
    </row>
    <row r="64" ht="15.75" customHeight="1">
      <c r="A64" s="4"/>
      <c r="B64" s="4"/>
      <c r="C64" s="4"/>
      <c r="D64" s="4"/>
      <c r="E64" s="4"/>
      <c r="F64" s="4"/>
      <c r="G64" s="4"/>
      <c r="H64" s="4"/>
      <c r="I64" s="4"/>
      <c r="J64" s="4"/>
      <c r="K64" s="4"/>
      <c r="L64" s="4"/>
      <c r="M64" s="4"/>
      <c r="N64" s="4"/>
      <c r="O64" s="4"/>
      <c r="P64" s="4"/>
      <c r="Q64" s="4"/>
      <c r="R64" s="4"/>
      <c r="S64" s="4"/>
      <c r="T64" s="4"/>
      <c r="U64" s="4"/>
      <c r="V64" s="4"/>
    </row>
    <row r="65" ht="15.75" customHeight="1">
      <c r="A65" s="4"/>
      <c r="B65" s="4"/>
      <c r="C65" s="4"/>
      <c r="D65" s="4"/>
      <c r="E65" s="4"/>
      <c r="F65" s="4"/>
      <c r="G65" s="4"/>
      <c r="H65" s="4"/>
      <c r="I65" s="4"/>
      <c r="J65" s="4"/>
      <c r="K65" s="4"/>
      <c r="L65" s="4"/>
      <c r="M65" s="4"/>
      <c r="N65" s="4"/>
      <c r="O65" s="4"/>
      <c r="P65" s="4"/>
      <c r="Q65" s="4"/>
      <c r="R65" s="4"/>
      <c r="S65" s="4"/>
      <c r="T65" s="4"/>
      <c r="U65" s="4"/>
      <c r="V65" s="4"/>
    </row>
    <row r="66" ht="15.75" customHeight="1">
      <c r="A66" s="4"/>
      <c r="B66" s="4"/>
      <c r="C66" s="4"/>
      <c r="D66" s="4"/>
      <c r="E66" s="4"/>
      <c r="F66" s="4"/>
      <c r="G66" s="4"/>
      <c r="H66" s="4"/>
      <c r="I66" s="4"/>
      <c r="J66" s="4"/>
      <c r="K66" s="4"/>
      <c r="L66" s="4"/>
      <c r="M66" s="4"/>
      <c r="N66" s="4"/>
      <c r="O66" s="4"/>
      <c r="P66" s="4"/>
      <c r="Q66" s="4"/>
      <c r="R66" s="4"/>
      <c r="S66" s="4"/>
      <c r="T66" s="4"/>
      <c r="U66" s="4"/>
      <c r="V66" s="4"/>
    </row>
    <row r="67" ht="15.75" customHeight="1">
      <c r="A67" s="4"/>
      <c r="B67" s="4"/>
      <c r="C67" s="4"/>
      <c r="D67" s="4"/>
      <c r="E67" s="4"/>
      <c r="F67" s="4"/>
      <c r="G67" s="4"/>
      <c r="H67" s="4"/>
      <c r="I67" s="4"/>
      <c r="J67" s="4"/>
      <c r="K67" s="4"/>
      <c r="L67" s="4"/>
      <c r="M67" s="4"/>
      <c r="N67" s="4"/>
      <c r="O67" s="4"/>
      <c r="P67" s="4"/>
      <c r="Q67" s="4"/>
      <c r="R67" s="4"/>
      <c r="S67" s="4"/>
      <c r="T67" s="4"/>
      <c r="U67" s="4"/>
      <c r="V67" s="4"/>
    </row>
    <row r="68" ht="15.75" customHeight="1">
      <c r="A68" s="4"/>
      <c r="B68" s="4"/>
      <c r="C68" s="4"/>
      <c r="D68" s="4"/>
      <c r="E68" s="4"/>
      <c r="F68" s="4"/>
      <c r="G68" s="4"/>
      <c r="H68" s="4"/>
      <c r="I68" s="4"/>
      <c r="J68" s="4"/>
      <c r="K68" s="4"/>
      <c r="L68" s="4"/>
      <c r="M68" s="4"/>
      <c r="N68" s="4"/>
      <c r="O68" s="4"/>
      <c r="P68" s="4"/>
      <c r="Q68" s="4"/>
      <c r="R68" s="4"/>
      <c r="S68" s="4"/>
      <c r="T68" s="4"/>
      <c r="U68" s="4"/>
      <c r="V68" s="4"/>
    </row>
    <row r="69" ht="15.75" customHeight="1">
      <c r="A69" s="4"/>
      <c r="B69" s="4"/>
      <c r="C69" s="4"/>
      <c r="D69" s="4"/>
      <c r="E69" s="4"/>
      <c r="F69" s="4"/>
      <c r="G69" s="4"/>
      <c r="H69" s="4"/>
      <c r="I69" s="4"/>
      <c r="J69" s="4"/>
      <c r="K69" s="4"/>
      <c r="L69" s="4"/>
      <c r="M69" s="4"/>
      <c r="N69" s="4"/>
      <c r="O69" s="4"/>
      <c r="P69" s="4"/>
      <c r="Q69" s="4"/>
      <c r="R69" s="4"/>
      <c r="S69" s="4"/>
      <c r="T69" s="4"/>
      <c r="U69" s="4"/>
      <c r="V69" s="4"/>
    </row>
    <row r="70" ht="15.75" customHeight="1">
      <c r="A70" s="4"/>
      <c r="B70" s="4"/>
      <c r="C70" s="4"/>
      <c r="D70" s="4"/>
      <c r="E70" s="4"/>
      <c r="F70" s="4"/>
      <c r="G70" s="4"/>
      <c r="H70" s="4"/>
      <c r="I70" s="4"/>
      <c r="J70" s="4"/>
      <c r="K70" s="4"/>
      <c r="L70" s="4"/>
      <c r="M70" s="4"/>
      <c r="N70" s="4"/>
      <c r="O70" s="4"/>
      <c r="P70" s="4"/>
      <c r="Q70" s="4"/>
      <c r="R70" s="4"/>
      <c r="S70" s="4"/>
      <c r="T70" s="4"/>
      <c r="U70" s="4"/>
      <c r="V70" s="4"/>
    </row>
    <row r="71" ht="15.7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446</v>
      </c>
      <c r="B1" s="2"/>
      <c r="C1" s="2"/>
      <c r="D1" s="2"/>
      <c r="E1" s="2"/>
      <c r="F1" s="2"/>
      <c r="G1" s="2"/>
      <c r="H1" s="2"/>
      <c r="I1" s="2"/>
      <c r="J1" s="2"/>
      <c r="K1" s="2"/>
      <c r="L1" s="2"/>
      <c r="M1" s="2"/>
      <c r="N1" s="2"/>
    </row>
    <row r="2">
      <c r="A2" s="3" t="s">
        <v>56</v>
      </c>
    </row>
    <row r="3">
      <c r="A3" s="4"/>
      <c r="B3" s="4"/>
      <c r="C3" s="4"/>
      <c r="D3" s="4"/>
      <c r="E3" s="4"/>
      <c r="F3" s="4"/>
      <c r="G3" s="4"/>
      <c r="H3" s="4"/>
      <c r="I3" s="4"/>
      <c r="J3" s="4"/>
      <c r="K3" s="4"/>
      <c r="L3" s="4"/>
      <c r="M3" s="4"/>
      <c r="N3" s="4"/>
    </row>
    <row r="4" ht="19.5" customHeight="1">
      <c r="A4" s="22" t="s">
        <v>58</v>
      </c>
      <c r="B4" s="2"/>
      <c r="C4" s="4"/>
      <c r="D4" s="4"/>
      <c r="E4" s="22" t="s">
        <v>59</v>
      </c>
      <c r="F4" s="2"/>
      <c r="G4" s="4"/>
      <c r="H4" s="4"/>
      <c r="I4" s="22" t="s">
        <v>8</v>
      </c>
      <c r="J4" s="2"/>
      <c r="K4" s="4"/>
      <c r="L4" s="4"/>
      <c r="M4" s="23" t="s">
        <v>9</v>
      </c>
      <c r="N4" s="24"/>
    </row>
    <row r="5">
      <c r="A5" s="25" t="s">
        <v>453</v>
      </c>
      <c r="B5" s="2"/>
      <c r="C5" s="4"/>
      <c r="D5" s="4"/>
      <c r="E5" s="25" t="s">
        <v>246</v>
      </c>
      <c r="F5" s="2"/>
      <c r="G5" s="4"/>
      <c r="H5" s="4"/>
      <c r="I5" s="25" t="s">
        <v>64</v>
      </c>
      <c r="J5" s="2"/>
      <c r="K5" s="4"/>
      <c r="L5" s="4"/>
      <c r="M5" s="26"/>
    </row>
    <row r="6" ht="16.5" customHeight="1">
      <c r="A6" s="27" t="s">
        <v>518</v>
      </c>
      <c r="B6" s="28"/>
      <c r="C6" s="4"/>
      <c r="D6" s="4"/>
      <c r="E6" s="4"/>
      <c r="F6" s="4"/>
      <c r="G6" s="4"/>
      <c r="H6" s="4"/>
      <c r="I6" s="4"/>
      <c r="J6" s="4"/>
      <c r="K6" s="4"/>
      <c r="L6" s="4"/>
      <c r="M6" s="4"/>
      <c r="N6" s="4"/>
    </row>
    <row r="7" ht="16.5" customHeight="1">
      <c r="A7" s="29" t="s">
        <v>66</v>
      </c>
      <c r="B7" s="30" t="s">
        <v>519</v>
      </c>
      <c r="C7" s="31"/>
      <c r="D7" s="4"/>
      <c r="E7" s="4"/>
      <c r="F7" s="4"/>
      <c r="G7" s="4"/>
      <c r="H7" s="4"/>
      <c r="I7" s="4"/>
      <c r="J7" s="4"/>
      <c r="K7" s="4"/>
      <c r="L7" s="4"/>
      <c r="M7" s="4"/>
      <c r="N7" s="4"/>
    </row>
    <row r="8" ht="16.5" customHeight="1">
      <c r="A8" s="32" t="s">
        <v>68</v>
      </c>
      <c r="B8" s="33" t="s">
        <v>520</v>
      </c>
      <c r="C8" s="34"/>
      <c r="D8" s="4"/>
      <c r="E8" s="27" t="s">
        <v>521</v>
      </c>
      <c r="F8" s="28"/>
      <c r="G8" s="4"/>
      <c r="H8" s="4"/>
      <c r="I8" s="4"/>
      <c r="J8" s="4"/>
      <c r="K8" s="4"/>
      <c r="L8" s="4"/>
      <c r="M8" s="4"/>
      <c r="N8" s="4"/>
    </row>
    <row r="9" ht="16.5" customHeight="1">
      <c r="A9" s="4"/>
      <c r="B9" s="4"/>
      <c r="C9" s="4"/>
      <c r="D9" s="36"/>
      <c r="E9" s="29" t="str">
        <f>IF(F9="","W TWS-R1-01",IF(F9=B7,A7&amp;"",IF(F9=B8,A8&amp;"","W TWS-R1-01")))</f>
        <v>Team 1</v>
      </c>
      <c r="F9" s="38" t="s">
        <v>520</v>
      </c>
      <c r="G9" s="31"/>
      <c r="H9" s="4"/>
      <c r="I9" s="4"/>
      <c r="J9" s="4"/>
      <c r="K9" s="4"/>
      <c r="L9" s="4"/>
      <c r="M9" s="4"/>
      <c r="N9" s="4"/>
    </row>
    <row r="10" ht="16.5" customHeight="1">
      <c r="A10" s="27" t="s">
        <v>539</v>
      </c>
      <c r="B10" s="28"/>
      <c r="C10" s="34"/>
      <c r="D10" s="36"/>
      <c r="E10" s="32" t="str">
        <f>IF(F10="","W TWS-R1-02",IF(F10=B11,A11&amp;"",IF(F10=B12,A12&amp;"","W TWS-R1-02")))</f>
        <v>Team 5</v>
      </c>
      <c r="F10" s="37" t="s">
        <v>137</v>
      </c>
      <c r="G10" s="34"/>
      <c r="H10" s="4"/>
      <c r="I10" s="4"/>
      <c r="J10" s="4"/>
      <c r="K10" s="4"/>
      <c r="L10" s="4"/>
      <c r="M10" s="4"/>
      <c r="N10" s="4"/>
    </row>
    <row r="11" ht="16.5" customHeight="1">
      <c r="A11" s="29" t="s">
        <v>86</v>
      </c>
      <c r="B11" s="30" t="s">
        <v>137</v>
      </c>
      <c r="C11" s="39"/>
      <c r="D11" s="4"/>
      <c r="E11" s="4"/>
      <c r="F11" s="4"/>
      <c r="G11" s="34"/>
      <c r="H11" s="4"/>
      <c r="I11" s="4"/>
      <c r="J11" s="4"/>
      <c r="K11" s="4"/>
      <c r="L11" s="4"/>
      <c r="M11" s="4"/>
      <c r="N11" s="4"/>
    </row>
    <row r="12" ht="16.5" customHeight="1">
      <c r="A12" s="32" t="s">
        <v>82</v>
      </c>
      <c r="B12" s="33" t="s">
        <v>540</v>
      </c>
      <c r="C12" s="4"/>
      <c r="D12" s="4"/>
      <c r="E12" s="4"/>
      <c r="F12" s="4"/>
      <c r="G12" s="34"/>
      <c r="H12" s="4"/>
      <c r="I12" s="27" t="s">
        <v>541</v>
      </c>
      <c r="J12" s="28"/>
      <c r="K12" s="4"/>
      <c r="L12" s="4"/>
      <c r="M12" s="46" t="s">
        <v>113</v>
      </c>
      <c r="N12" s="17"/>
    </row>
    <row r="13" ht="16.5" customHeight="1">
      <c r="A13" s="4"/>
      <c r="B13" s="4"/>
      <c r="C13" s="4"/>
      <c r="D13" s="4"/>
      <c r="E13" s="4"/>
      <c r="F13" s="4"/>
      <c r="G13" s="4"/>
      <c r="H13" s="36"/>
      <c r="I13" s="29" t="str">
        <f>IF(J13="","W TWS-R2-01",IF(J13=F9,E9&amp;"",IF(J13=F10,E10&amp;"","W TWS-R2-01")))</f>
        <v>Team 1</v>
      </c>
      <c r="J13" s="38" t="s">
        <v>520</v>
      </c>
      <c r="K13" s="31"/>
      <c r="L13" s="31"/>
      <c r="M13" s="48" t="str">
        <f>IF(N13="","W TWS-R3-01",IF(N13=J13,I13&amp;"",IF(N13=J14,I14&amp;"","W TWS-R3-01")))</f>
        <v>W TWS-R3-01</v>
      </c>
      <c r="N13" s="49"/>
    </row>
    <row r="14" ht="16.5" customHeight="1">
      <c r="A14" s="27" t="s">
        <v>552</v>
      </c>
      <c r="B14" s="28"/>
      <c r="C14" s="4"/>
      <c r="D14" s="4"/>
      <c r="E14" s="4"/>
      <c r="F14" s="4"/>
      <c r="G14" s="34"/>
      <c r="H14" s="36"/>
      <c r="I14" s="32" t="str">
        <f>IF(J14="","W TWS-R2-02",IF(J14=F17,E17&amp;"",IF(J14=F18,E18&amp;"","W TWS-R2-02")))</f>
        <v>Team 4</v>
      </c>
      <c r="J14" s="37" t="s">
        <v>556</v>
      </c>
      <c r="K14" s="4"/>
      <c r="L14" s="4"/>
      <c r="M14" s="50" t="s">
        <v>116</v>
      </c>
      <c r="N14" s="17"/>
    </row>
    <row r="15" ht="16.5" customHeight="1">
      <c r="A15" s="29" t="s">
        <v>66</v>
      </c>
      <c r="B15" s="30" t="s">
        <v>557</v>
      </c>
      <c r="C15" s="31"/>
      <c r="D15" s="4"/>
      <c r="E15" s="4"/>
      <c r="F15" s="4"/>
      <c r="G15" s="34"/>
      <c r="H15" s="4"/>
      <c r="I15" s="4"/>
      <c r="J15" s="4"/>
      <c r="K15" s="4"/>
      <c r="L15" s="4"/>
      <c r="M15" s="55" t="str">
        <f>IF(N13="","L final",IF(N13=J13,I14&amp;"",IF(N13=J14,I13&amp;"","L final")))</f>
        <v>L final</v>
      </c>
      <c r="N15" s="56" t="str">
        <f>IF(N13="","",IF(N13=J13,J14&amp;"",IF(N13=J14,J13&amp;"","")))</f>
        <v/>
      </c>
    </row>
    <row r="16" ht="16.5" customHeight="1">
      <c r="A16" s="32" t="s">
        <v>77</v>
      </c>
      <c r="B16" s="33" t="s">
        <v>78</v>
      </c>
      <c r="C16" s="34"/>
      <c r="D16" s="4"/>
      <c r="E16" s="27" t="s">
        <v>558</v>
      </c>
      <c r="F16" s="28"/>
      <c r="G16" s="34"/>
      <c r="H16" s="4"/>
      <c r="I16" s="4"/>
      <c r="J16" s="4"/>
      <c r="K16" s="4"/>
      <c r="L16" s="4"/>
      <c r="M16" s="4"/>
      <c r="N16" s="4"/>
    </row>
    <row r="17" ht="16.5" customHeight="1">
      <c r="A17" s="4"/>
      <c r="B17" s="4"/>
      <c r="C17" s="4"/>
      <c r="D17" s="36"/>
      <c r="E17" s="29" t="str">
        <f>IF(F17="","W TWS-R1-03",IF(F17=B15,A15&amp;"",IF(F17=B16,A16&amp;"","W TWS-R1-03")))</f>
        <v>Team 6</v>
      </c>
      <c r="F17" s="38" t="s">
        <v>557</v>
      </c>
      <c r="G17" s="39"/>
      <c r="H17" s="4"/>
      <c r="I17" s="57" t="s">
        <v>559</v>
      </c>
      <c r="J17" s="28"/>
      <c r="K17" s="4"/>
      <c r="L17" s="4"/>
      <c r="M17" s="59" t="s">
        <v>121</v>
      </c>
      <c r="N17" s="17"/>
    </row>
    <row r="18" ht="16.5" customHeight="1">
      <c r="A18" s="27" t="s">
        <v>560</v>
      </c>
      <c r="B18" s="28"/>
      <c r="C18" s="34"/>
      <c r="D18" s="36"/>
      <c r="E18" s="32" t="str">
        <f>IF(F18="","W TWS-R1-04",IF(F18=B19,A19&amp;"",IF(F18=B20,A20&amp;"","W TWS-R1-04")))</f>
        <v>Team 4</v>
      </c>
      <c r="F18" s="37" t="s">
        <v>556</v>
      </c>
      <c r="G18" s="4"/>
      <c r="H18" s="4"/>
      <c r="I18" s="29" t="str">
        <f>IF(J13="","L TWS-R2-01",IF(J13=F9,E10&amp;"",IF(J13=F10,E9&amp;"","L TWS-R2-01")))</f>
        <v>Team 5</v>
      </c>
      <c r="J18" s="21" t="str">
        <f>IF(J13="","",IF(J13=F9,F10&amp;"",IF(J13=F10,F9&amp;"","")))</f>
        <v>Sradha Santhosh</v>
      </c>
      <c r="K18" s="31"/>
      <c r="L18" s="31"/>
      <c r="M18" s="60" t="str">
        <f>IF(N18="","W TWS-3P-01",IF(N18=J18,I18&amp;"",IF(N18=J19,I19&amp;"","W TWS-3P-01")))</f>
        <v>W TWS-3P-01</v>
      </c>
      <c r="N18" s="61"/>
    </row>
    <row r="19" ht="16.5" customHeight="1">
      <c r="A19" s="29" t="s">
        <v>82</v>
      </c>
      <c r="B19" s="30" t="s">
        <v>556</v>
      </c>
      <c r="C19" s="39"/>
      <c r="D19" s="4"/>
      <c r="E19" s="4"/>
      <c r="F19" s="4"/>
      <c r="G19" s="4"/>
      <c r="H19" s="4"/>
      <c r="I19" s="32" t="str">
        <f>IF(J14="","L TWS-R2-02",IF(J14=F17,E18&amp;"",IF(J14=F18,E17&amp;"","L TWS-R2-02")))</f>
        <v>Team 6</v>
      </c>
      <c r="J19" s="62" t="str">
        <f>IF(J14="","",IF(J14=F17,F18&amp;"",IF(J14=F18,F17&amp;"","")))</f>
        <v>Akhila</v>
      </c>
      <c r="K19" s="4"/>
      <c r="L19" s="4"/>
      <c r="M19" s="4"/>
      <c r="N19" s="4"/>
    </row>
    <row r="20" ht="16.5" customHeight="1">
      <c r="A20" s="32" t="s">
        <v>68</v>
      </c>
      <c r="B20" s="33" t="s">
        <v>81</v>
      </c>
      <c r="C20" s="4"/>
      <c r="D20" s="4"/>
      <c r="E20" s="4"/>
      <c r="F20" s="4"/>
      <c r="G20" s="4"/>
      <c r="H20" s="4"/>
      <c r="I20" s="4"/>
      <c r="J20" s="4"/>
      <c r="K20" s="4"/>
      <c r="L20" s="4"/>
      <c r="M20" s="4"/>
      <c r="N20" s="4"/>
    </row>
    <row r="21" ht="16.5" customHeight="1">
      <c r="A21" s="4"/>
      <c r="B21" s="4"/>
      <c r="C21" s="4"/>
      <c r="D21" s="4"/>
      <c r="E21" s="4"/>
      <c r="F21" s="4"/>
      <c r="G21" s="4"/>
      <c r="H21" s="4"/>
      <c r="I21" s="4"/>
      <c r="J21" s="4"/>
      <c r="K21" s="4"/>
      <c r="L21" s="4"/>
      <c r="M21" s="4"/>
      <c r="N21" s="4"/>
    </row>
    <row r="22" ht="16.5" customHeight="1">
      <c r="A22" s="4"/>
      <c r="B22" s="4"/>
      <c r="C22" s="4"/>
      <c r="D22" s="4"/>
      <c r="E22" s="4"/>
      <c r="F22" s="4"/>
      <c r="G22" s="4"/>
      <c r="H22" s="4"/>
      <c r="I22" s="4"/>
      <c r="J22" s="4"/>
      <c r="K22" s="4"/>
      <c r="L22" s="4"/>
      <c r="M22" s="4"/>
      <c r="N22" s="4"/>
    </row>
    <row r="23" ht="16.5" customHeight="1">
      <c r="A23" s="4"/>
      <c r="B23" s="4"/>
      <c r="C23" s="4"/>
      <c r="D23" s="4"/>
      <c r="E23" s="4"/>
      <c r="F23" s="4"/>
      <c r="G23" s="4"/>
      <c r="H23" s="4"/>
      <c r="I23" s="4"/>
      <c r="J23" s="4"/>
      <c r="K23" s="4"/>
      <c r="L23" s="4"/>
      <c r="M23" s="4"/>
      <c r="N23" s="4"/>
    </row>
    <row r="24" ht="15.75" customHeight="1">
      <c r="A24" s="4"/>
      <c r="B24" s="4"/>
      <c r="C24" s="4"/>
      <c r="D24" s="4"/>
      <c r="E24" s="4"/>
      <c r="F24" s="4"/>
      <c r="G24" s="4"/>
      <c r="H24" s="4"/>
      <c r="I24" s="4"/>
      <c r="J24" s="4"/>
      <c r="K24" s="4"/>
      <c r="L24" s="4"/>
      <c r="M24" s="4"/>
      <c r="N24" s="4"/>
    </row>
    <row r="25" ht="15.75" customHeight="1">
      <c r="A25" s="4"/>
      <c r="B25" s="4"/>
      <c r="C25" s="4"/>
      <c r="D25" s="4"/>
      <c r="E25" s="4"/>
      <c r="F25" s="4"/>
      <c r="G25" s="4"/>
      <c r="H25" s="4"/>
      <c r="I25" s="4"/>
      <c r="J25" s="4"/>
      <c r="K25" s="4"/>
      <c r="L25" s="4"/>
      <c r="M25" s="4"/>
      <c r="N25" s="4"/>
    </row>
    <row r="26" ht="15.75" customHeight="1">
      <c r="A26" s="4"/>
      <c r="B26" s="4"/>
      <c r="C26" s="4"/>
      <c r="D26" s="4"/>
      <c r="E26" s="4"/>
      <c r="F26" s="4"/>
      <c r="G26" s="4"/>
      <c r="H26" s="4"/>
      <c r="I26" s="4"/>
      <c r="J26" s="4"/>
      <c r="K26" s="4"/>
      <c r="L26" s="4"/>
      <c r="M26" s="4"/>
      <c r="N26" s="4"/>
    </row>
    <row r="27" ht="15.75" customHeight="1">
      <c r="A27" s="4"/>
      <c r="B27" s="4"/>
      <c r="C27" s="4"/>
      <c r="D27" s="4"/>
      <c r="E27" s="4"/>
      <c r="F27" s="4"/>
      <c r="G27" s="4"/>
      <c r="H27" s="4"/>
      <c r="I27" s="4"/>
      <c r="J27" s="4"/>
      <c r="K27" s="4"/>
      <c r="L27" s="4"/>
      <c r="M27" s="4"/>
      <c r="N27" s="4"/>
    </row>
    <row r="28" ht="15.75" customHeight="1">
      <c r="A28" s="4"/>
      <c r="B28" s="4"/>
      <c r="C28" s="4"/>
      <c r="D28" s="4"/>
      <c r="E28" s="4"/>
      <c r="F28" s="4"/>
      <c r="G28" s="4"/>
      <c r="H28" s="4"/>
      <c r="I28" s="4"/>
      <c r="J28" s="4"/>
      <c r="K28" s="4"/>
      <c r="L28" s="4"/>
      <c r="M28" s="4"/>
      <c r="N28" s="4"/>
    </row>
    <row r="29" ht="15.75" customHeight="1">
      <c r="A29" s="4"/>
      <c r="B29" s="4"/>
      <c r="C29" s="4"/>
      <c r="D29" s="4"/>
      <c r="E29" s="4"/>
      <c r="F29" s="4"/>
      <c r="G29" s="4"/>
      <c r="H29" s="4"/>
      <c r="I29" s="4"/>
      <c r="J29" s="4"/>
      <c r="K29" s="4"/>
      <c r="L29" s="4"/>
      <c r="M29" s="4"/>
      <c r="N29" s="4"/>
    </row>
    <row r="30" ht="15.75" customHeight="1">
      <c r="A30" s="4"/>
      <c r="B30" s="4"/>
      <c r="C30" s="4"/>
      <c r="D30" s="4"/>
      <c r="E30" s="4"/>
      <c r="F30" s="4"/>
      <c r="G30" s="4"/>
      <c r="H30" s="4"/>
      <c r="I30" s="4"/>
      <c r="J30" s="4"/>
      <c r="K30" s="4"/>
      <c r="L30" s="4"/>
      <c r="M30" s="4"/>
      <c r="N30" s="4"/>
    </row>
    <row r="31" ht="15.75" customHeight="1">
      <c r="A31" s="4"/>
      <c r="B31" s="4"/>
      <c r="C31" s="4"/>
      <c r="D31" s="4"/>
      <c r="E31" s="4"/>
      <c r="F31" s="4"/>
      <c r="G31" s="4"/>
      <c r="H31" s="4"/>
      <c r="I31" s="4"/>
      <c r="J31" s="4"/>
      <c r="K31" s="4"/>
      <c r="L31" s="4"/>
      <c r="M31" s="4"/>
      <c r="N31" s="4"/>
    </row>
    <row r="32" ht="15.75" customHeight="1">
      <c r="A32" s="4"/>
      <c r="B32" s="4"/>
      <c r="C32" s="4"/>
      <c r="D32" s="4"/>
      <c r="E32" s="4"/>
      <c r="F32" s="4"/>
      <c r="G32" s="4"/>
      <c r="H32" s="4"/>
      <c r="I32" s="4"/>
      <c r="J32" s="4"/>
      <c r="K32" s="4"/>
      <c r="L32" s="4"/>
      <c r="M32" s="4"/>
      <c r="N32" s="4"/>
    </row>
    <row r="33" ht="15.75" customHeight="1">
      <c r="A33" s="4"/>
      <c r="B33" s="4"/>
      <c r="C33" s="4"/>
      <c r="D33" s="4"/>
      <c r="E33" s="4"/>
      <c r="F33" s="4"/>
      <c r="G33" s="4"/>
      <c r="H33" s="4"/>
      <c r="I33" s="4"/>
      <c r="J33" s="4"/>
      <c r="K33" s="4"/>
      <c r="L33" s="4"/>
      <c r="M33" s="4"/>
      <c r="N33" s="4"/>
    </row>
    <row r="34" ht="15.75" customHeight="1">
      <c r="A34" s="4"/>
      <c r="B34" s="4"/>
      <c r="C34" s="4"/>
      <c r="D34" s="4"/>
      <c r="E34" s="4"/>
      <c r="F34" s="4"/>
      <c r="G34" s="4"/>
      <c r="H34" s="4"/>
      <c r="I34" s="4"/>
      <c r="J34" s="4"/>
      <c r="K34" s="4"/>
      <c r="L34" s="4"/>
      <c r="M34" s="4"/>
      <c r="N34" s="4"/>
    </row>
    <row r="35" ht="15.75" customHeight="1">
      <c r="A35" s="4"/>
      <c r="B35" s="4"/>
      <c r="C35" s="4"/>
      <c r="D35" s="4"/>
      <c r="E35" s="4"/>
      <c r="F35" s="4"/>
      <c r="G35" s="4"/>
      <c r="H35" s="4"/>
      <c r="I35" s="4"/>
      <c r="J35" s="4"/>
      <c r="K35" s="4"/>
      <c r="L35" s="4"/>
      <c r="M35" s="4"/>
      <c r="N35" s="4"/>
    </row>
    <row r="36" ht="15.75" customHeight="1">
      <c r="A36" s="4"/>
      <c r="B36" s="4"/>
      <c r="C36" s="4"/>
      <c r="D36" s="4"/>
      <c r="E36" s="4"/>
      <c r="F36" s="4"/>
      <c r="G36" s="4"/>
      <c r="H36" s="4"/>
      <c r="I36" s="4"/>
      <c r="J36" s="4"/>
      <c r="K36" s="4"/>
      <c r="L36" s="4"/>
      <c r="M36" s="4"/>
      <c r="N36" s="4"/>
    </row>
    <row r="37" ht="15.75" customHeight="1">
      <c r="A37" s="4"/>
      <c r="B37" s="4"/>
      <c r="C37" s="4"/>
      <c r="D37" s="4"/>
      <c r="E37" s="4"/>
      <c r="F37" s="4"/>
      <c r="G37" s="4"/>
      <c r="H37" s="4"/>
      <c r="I37" s="4"/>
      <c r="J37" s="4"/>
      <c r="K37" s="4"/>
      <c r="L37" s="4"/>
      <c r="M37" s="4"/>
      <c r="N37" s="4"/>
    </row>
    <row r="38" ht="15.75" customHeight="1">
      <c r="A38" s="4"/>
      <c r="B38" s="4"/>
      <c r="C38" s="4"/>
      <c r="D38" s="4"/>
      <c r="E38" s="4"/>
      <c r="F38" s="4"/>
      <c r="G38" s="4"/>
      <c r="H38" s="4"/>
      <c r="I38" s="4"/>
      <c r="J38" s="4"/>
      <c r="K38" s="4"/>
      <c r="L38" s="4"/>
      <c r="M38" s="4"/>
      <c r="N38" s="4"/>
    </row>
    <row r="39" ht="15.75" customHeight="1">
      <c r="A39" s="4"/>
      <c r="B39" s="4"/>
      <c r="C39" s="4"/>
      <c r="D39" s="4"/>
      <c r="E39" s="4"/>
      <c r="F39" s="4"/>
      <c r="G39" s="4"/>
      <c r="H39" s="4"/>
      <c r="I39" s="4"/>
      <c r="J39" s="4"/>
      <c r="K39" s="4"/>
      <c r="L39" s="4"/>
      <c r="M39" s="4"/>
      <c r="N39" s="4"/>
    </row>
    <row r="40" ht="15.75" customHeight="1">
      <c r="A40" s="4"/>
      <c r="B40" s="4"/>
      <c r="C40" s="4"/>
      <c r="D40" s="4"/>
      <c r="E40" s="4"/>
      <c r="F40" s="4"/>
      <c r="G40" s="4"/>
      <c r="H40" s="4"/>
      <c r="I40" s="4"/>
      <c r="J40" s="4"/>
      <c r="K40" s="4"/>
      <c r="L40" s="4"/>
      <c r="M40" s="4"/>
      <c r="N40" s="4"/>
    </row>
    <row r="41" ht="15.75" customHeight="1">
      <c r="A41" s="4"/>
      <c r="B41" s="4"/>
      <c r="C41" s="4"/>
      <c r="D41" s="4"/>
      <c r="E41" s="4"/>
      <c r="F41" s="4"/>
      <c r="G41" s="4"/>
      <c r="H41" s="4"/>
      <c r="I41" s="4"/>
      <c r="J41" s="4"/>
      <c r="K41" s="4"/>
      <c r="L41" s="4"/>
      <c r="M41" s="4"/>
      <c r="N41" s="4"/>
    </row>
    <row r="42" ht="15.75" customHeight="1">
      <c r="A42" s="4"/>
      <c r="B42" s="4"/>
      <c r="C42" s="4"/>
      <c r="D42" s="4"/>
      <c r="E42" s="4"/>
      <c r="F42" s="4"/>
      <c r="G42" s="4"/>
      <c r="H42" s="4"/>
      <c r="I42" s="4"/>
      <c r="J42" s="4"/>
      <c r="K42" s="4"/>
      <c r="L42" s="4"/>
      <c r="M42" s="4"/>
      <c r="N42" s="4"/>
    </row>
    <row r="43" ht="15.75" customHeight="1">
      <c r="A43" s="4"/>
      <c r="B43" s="4"/>
      <c r="C43" s="4"/>
      <c r="D43" s="4"/>
      <c r="E43" s="4"/>
      <c r="F43" s="4"/>
      <c r="G43" s="4"/>
      <c r="H43" s="4"/>
      <c r="I43" s="4"/>
      <c r="J43" s="4"/>
      <c r="K43" s="4"/>
      <c r="L43" s="4"/>
      <c r="M43" s="4"/>
      <c r="N43" s="4"/>
    </row>
    <row r="44" ht="15.75" customHeight="1">
      <c r="A44" s="4"/>
      <c r="B44" s="4"/>
      <c r="C44" s="4"/>
      <c r="D44" s="4"/>
      <c r="E44" s="4"/>
      <c r="F44" s="4"/>
      <c r="G44" s="4"/>
      <c r="H44" s="4"/>
      <c r="I44" s="4"/>
      <c r="J44" s="4"/>
      <c r="K44" s="4"/>
      <c r="L44" s="4"/>
      <c r="M44" s="4"/>
      <c r="N44" s="4"/>
    </row>
    <row r="45" ht="15.75" customHeight="1">
      <c r="A45" s="4"/>
      <c r="B45" s="4"/>
      <c r="C45" s="4"/>
      <c r="D45" s="4"/>
      <c r="E45" s="4"/>
      <c r="F45" s="4"/>
      <c r="G45" s="4"/>
      <c r="H45" s="4"/>
      <c r="I45" s="4"/>
      <c r="J45" s="4"/>
      <c r="K45" s="4"/>
      <c r="L45" s="4"/>
      <c r="M45" s="4"/>
      <c r="N45" s="4"/>
    </row>
    <row r="46" ht="15.75" customHeight="1">
      <c r="A46" s="4"/>
      <c r="B46" s="4"/>
      <c r="C46" s="4"/>
      <c r="D46" s="4"/>
      <c r="E46" s="4"/>
      <c r="F46" s="4"/>
      <c r="G46" s="4"/>
      <c r="H46" s="4"/>
      <c r="I46" s="4"/>
      <c r="J46" s="4"/>
      <c r="K46" s="4"/>
      <c r="L46" s="4"/>
      <c r="M46" s="4"/>
      <c r="N46" s="4"/>
    </row>
    <row r="47" ht="15.75" customHeight="1">
      <c r="A47" s="4"/>
      <c r="B47" s="4"/>
      <c r="C47" s="4"/>
      <c r="D47" s="4"/>
      <c r="E47" s="4"/>
      <c r="F47" s="4"/>
      <c r="G47" s="4"/>
      <c r="H47" s="4"/>
      <c r="I47" s="4"/>
      <c r="J47" s="4"/>
      <c r="K47" s="4"/>
      <c r="L47" s="4"/>
      <c r="M47" s="4"/>
      <c r="N47" s="4"/>
    </row>
    <row r="48" ht="15.75" customHeight="1">
      <c r="A48" s="4"/>
      <c r="B48" s="4"/>
      <c r="C48" s="4"/>
      <c r="D48" s="4"/>
      <c r="E48" s="4"/>
      <c r="F48" s="4"/>
      <c r="G48" s="4"/>
      <c r="H48" s="4"/>
      <c r="I48" s="4"/>
      <c r="J48" s="4"/>
      <c r="K48" s="4"/>
      <c r="L48" s="4"/>
      <c r="M48" s="4"/>
      <c r="N48" s="4"/>
    </row>
    <row r="49" ht="15.75" customHeight="1">
      <c r="A49" s="4"/>
      <c r="B49" s="4"/>
      <c r="C49" s="4"/>
      <c r="D49" s="4"/>
      <c r="E49" s="4"/>
      <c r="F49" s="4"/>
      <c r="G49" s="4"/>
      <c r="H49" s="4"/>
      <c r="I49" s="4"/>
      <c r="J49" s="4"/>
      <c r="K49" s="4"/>
      <c r="L49" s="4"/>
      <c r="M49" s="4"/>
      <c r="N49" s="4"/>
    </row>
    <row r="50" ht="15.75" customHeight="1">
      <c r="A50" s="4"/>
      <c r="B50" s="4"/>
      <c r="C50" s="4"/>
      <c r="D50" s="4"/>
      <c r="E50" s="4"/>
      <c r="F50" s="4"/>
      <c r="G50" s="4"/>
      <c r="H50" s="4"/>
      <c r="I50" s="4"/>
      <c r="J50" s="4"/>
      <c r="K50" s="4"/>
      <c r="L50" s="4"/>
      <c r="M50" s="4"/>
      <c r="N50" s="4"/>
    </row>
    <row r="51" ht="15.75" customHeight="1">
      <c r="A51" s="4"/>
      <c r="B51" s="4"/>
      <c r="C51" s="4"/>
      <c r="D51" s="4"/>
      <c r="E51" s="4"/>
      <c r="F51" s="4"/>
      <c r="G51" s="4"/>
      <c r="H51" s="4"/>
      <c r="I51" s="4"/>
      <c r="J51" s="4"/>
      <c r="K51" s="4"/>
      <c r="L51" s="4"/>
      <c r="M51" s="4"/>
      <c r="N51" s="4"/>
    </row>
    <row r="52" ht="15.75" customHeight="1">
      <c r="A52" s="4"/>
      <c r="B52" s="4"/>
      <c r="C52" s="4"/>
      <c r="D52" s="4"/>
      <c r="E52" s="4"/>
      <c r="F52" s="4"/>
      <c r="G52" s="4"/>
      <c r="H52" s="4"/>
      <c r="I52" s="4"/>
      <c r="J52" s="4"/>
      <c r="K52" s="4"/>
      <c r="L52" s="4"/>
      <c r="M52" s="4"/>
      <c r="N52" s="4"/>
    </row>
    <row r="53" ht="15.75" customHeight="1">
      <c r="A53" s="4"/>
      <c r="B53" s="4"/>
      <c r="C53" s="4"/>
      <c r="D53" s="4"/>
      <c r="E53" s="4"/>
      <c r="F53" s="4"/>
      <c r="G53" s="4"/>
      <c r="H53" s="4"/>
      <c r="I53" s="4"/>
      <c r="J53" s="4"/>
      <c r="K53" s="4"/>
      <c r="L53" s="4"/>
      <c r="M53" s="4"/>
      <c r="N53" s="4"/>
    </row>
    <row r="54" ht="15.75" customHeight="1">
      <c r="A54" s="4"/>
      <c r="B54" s="4"/>
      <c r="C54" s="4"/>
      <c r="D54" s="4"/>
      <c r="E54" s="4"/>
      <c r="F54" s="4"/>
      <c r="G54" s="4"/>
      <c r="H54" s="4"/>
      <c r="I54" s="4"/>
      <c r="J54" s="4"/>
      <c r="K54" s="4"/>
      <c r="L54" s="4"/>
      <c r="M54" s="4"/>
      <c r="N54" s="4"/>
    </row>
    <row r="55" ht="15.75" customHeight="1">
      <c r="A55" s="4"/>
      <c r="B55" s="4"/>
      <c r="C55" s="4"/>
      <c r="D55" s="4"/>
      <c r="E55" s="4"/>
      <c r="F55" s="4"/>
      <c r="G55" s="4"/>
      <c r="H55" s="4"/>
      <c r="I55" s="4"/>
      <c r="J55" s="4"/>
      <c r="K55" s="4"/>
      <c r="L55" s="4"/>
      <c r="M55" s="4"/>
      <c r="N55" s="4"/>
    </row>
    <row r="56" ht="15.75" customHeight="1">
      <c r="A56" s="4"/>
      <c r="B56" s="4"/>
      <c r="C56" s="4"/>
      <c r="D56" s="4"/>
      <c r="E56" s="4"/>
      <c r="F56" s="4"/>
      <c r="G56" s="4"/>
      <c r="H56" s="4"/>
      <c r="I56" s="4"/>
      <c r="J56" s="4"/>
      <c r="K56" s="4"/>
      <c r="L56" s="4"/>
      <c r="M56" s="4"/>
      <c r="N56" s="4"/>
    </row>
    <row r="57" ht="15.75" customHeight="1">
      <c r="A57" s="4"/>
      <c r="B57" s="4"/>
      <c r="C57" s="4"/>
      <c r="D57" s="4"/>
      <c r="E57" s="4"/>
      <c r="F57" s="4"/>
      <c r="G57" s="4"/>
      <c r="H57" s="4"/>
      <c r="I57" s="4"/>
      <c r="J57" s="4"/>
      <c r="K57" s="4"/>
      <c r="L57" s="4"/>
      <c r="M57" s="4"/>
      <c r="N57" s="4"/>
    </row>
    <row r="58" ht="15.75" customHeight="1">
      <c r="A58" s="4"/>
      <c r="B58" s="4"/>
      <c r="C58" s="4"/>
      <c r="D58" s="4"/>
      <c r="E58" s="4"/>
      <c r="F58" s="4"/>
      <c r="G58" s="4"/>
      <c r="H58" s="4"/>
      <c r="I58" s="4"/>
      <c r="J58" s="4"/>
      <c r="K58" s="4"/>
      <c r="L58" s="4"/>
      <c r="M58" s="4"/>
      <c r="N58" s="4"/>
    </row>
    <row r="59" ht="15.75" customHeight="1">
      <c r="A59" s="4"/>
      <c r="B59" s="4"/>
      <c r="C59" s="4"/>
      <c r="D59" s="4"/>
      <c r="E59" s="4"/>
      <c r="F59" s="4"/>
      <c r="G59" s="4"/>
      <c r="H59" s="4"/>
      <c r="I59" s="4"/>
      <c r="J59" s="4"/>
      <c r="K59" s="4"/>
      <c r="L59" s="4"/>
      <c r="M59" s="4"/>
      <c r="N59" s="4"/>
    </row>
    <row r="60" ht="15.75" customHeight="1">
      <c r="A60" s="4"/>
      <c r="B60" s="4"/>
      <c r="C60" s="4"/>
      <c r="D60" s="4"/>
      <c r="E60" s="4"/>
      <c r="F60" s="4"/>
      <c r="G60" s="4"/>
      <c r="H60" s="4"/>
      <c r="I60" s="4"/>
      <c r="J60" s="4"/>
      <c r="K60" s="4"/>
      <c r="L60" s="4"/>
      <c r="M60" s="4"/>
      <c r="N60" s="4"/>
    </row>
    <row r="61" ht="15.75" customHeight="1">
      <c r="A61" s="4"/>
      <c r="B61" s="4"/>
      <c r="C61" s="4"/>
      <c r="D61" s="4"/>
      <c r="E61" s="4"/>
      <c r="F61" s="4"/>
      <c r="G61" s="4"/>
      <c r="H61" s="4"/>
      <c r="I61" s="4"/>
      <c r="J61" s="4"/>
      <c r="K61" s="4"/>
      <c r="L61" s="4"/>
      <c r="M61" s="4"/>
      <c r="N61" s="4"/>
    </row>
    <row r="62" ht="15.75" customHeight="1">
      <c r="A62" s="4"/>
      <c r="B62" s="4"/>
      <c r="C62" s="4"/>
      <c r="D62" s="4"/>
      <c r="E62" s="4"/>
      <c r="F62" s="4"/>
      <c r="G62" s="4"/>
      <c r="H62" s="4"/>
      <c r="I62" s="4"/>
      <c r="J62" s="4"/>
      <c r="K62" s="4"/>
      <c r="L62" s="4"/>
      <c r="M62" s="4"/>
      <c r="N62" s="4"/>
    </row>
    <row r="63" ht="15.75" customHeight="1">
      <c r="A63" s="4"/>
      <c r="B63" s="4"/>
      <c r="C63" s="4"/>
      <c r="D63" s="4"/>
      <c r="E63" s="4"/>
      <c r="F63" s="4"/>
      <c r="G63" s="4"/>
      <c r="H63" s="4"/>
      <c r="I63" s="4"/>
      <c r="J63" s="4"/>
      <c r="K63" s="4"/>
      <c r="L63" s="4"/>
      <c r="M63" s="4"/>
      <c r="N63" s="4"/>
    </row>
    <row r="64" ht="15.75" customHeight="1">
      <c r="A64" s="4"/>
      <c r="B64" s="4"/>
      <c r="C64" s="4"/>
      <c r="D64" s="4"/>
      <c r="E64" s="4"/>
      <c r="F64" s="4"/>
      <c r="G64" s="4"/>
      <c r="H64" s="4"/>
      <c r="I64" s="4"/>
      <c r="J64" s="4"/>
      <c r="K64" s="4"/>
      <c r="L64" s="4"/>
      <c r="M64" s="4"/>
      <c r="N64" s="4"/>
    </row>
    <row r="65" ht="15.75" customHeight="1">
      <c r="A65" s="4"/>
      <c r="B65" s="4"/>
      <c r="C65" s="4"/>
      <c r="D65" s="4"/>
      <c r="E65" s="4"/>
      <c r="F65" s="4"/>
      <c r="G65" s="4"/>
      <c r="H65" s="4"/>
      <c r="I65" s="4"/>
      <c r="J65" s="4"/>
      <c r="K65" s="4"/>
      <c r="L65" s="4"/>
      <c r="M65" s="4"/>
      <c r="N65" s="4"/>
    </row>
    <row r="66" ht="15.75" customHeight="1">
      <c r="A66" s="4"/>
      <c r="B66" s="4"/>
      <c r="C66" s="4"/>
      <c r="D66" s="4"/>
      <c r="E66" s="4"/>
      <c r="F66" s="4"/>
      <c r="G66" s="4"/>
      <c r="H66" s="4"/>
      <c r="I66" s="4"/>
      <c r="J66" s="4"/>
      <c r="K66" s="4"/>
      <c r="L66" s="4"/>
      <c r="M66" s="4"/>
      <c r="N66" s="4"/>
    </row>
    <row r="67" ht="15.75" customHeight="1">
      <c r="A67" s="4"/>
      <c r="B67" s="4"/>
      <c r="C67" s="4"/>
      <c r="D67" s="4"/>
      <c r="E67" s="4"/>
      <c r="F67" s="4"/>
      <c r="G67" s="4"/>
      <c r="H67" s="4"/>
      <c r="I67" s="4"/>
      <c r="J67" s="4"/>
      <c r="K67" s="4"/>
      <c r="L67" s="4"/>
      <c r="M67" s="4"/>
      <c r="N67" s="4"/>
    </row>
    <row r="68" ht="15.75" customHeight="1">
      <c r="A68" s="4"/>
      <c r="B68" s="4"/>
      <c r="C68" s="4"/>
      <c r="D68" s="4"/>
      <c r="E68" s="4"/>
      <c r="F68" s="4"/>
      <c r="G68" s="4"/>
      <c r="H68" s="4"/>
      <c r="I68" s="4"/>
      <c r="J68" s="4"/>
      <c r="K68" s="4"/>
      <c r="L68" s="4"/>
      <c r="M68" s="4"/>
      <c r="N68" s="4"/>
    </row>
    <row r="69" ht="15.75" customHeight="1">
      <c r="A69" s="4"/>
      <c r="B69" s="4"/>
      <c r="C69" s="4"/>
      <c r="D69" s="4"/>
      <c r="E69" s="4"/>
      <c r="F69" s="4"/>
      <c r="G69" s="4"/>
      <c r="H69" s="4"/>
      <c r="I69" s="4"/>
      <c r="J69" s="4"/>
      <c r="K69" s="4"/>
      <c r="L69" s="4"/>
      <c r="M69" s="4"/>
      <c r="N69" s="4"/>
    </row>
    <row r="70" ht="15.75" customHeight="1">
      <c r="A70" s="4"/>
      <c r="B70" s="4"/>
      <c r="C70" s="4"/>
      <c r="D70" s="4"/>
      <c r="E70" s="4"/>
      <c r="F70" s="4"/>
      <c r="G70" s="4"/>
      <c r="H70" s="4"/>
      <c r="I70" s="4"/>
      <c r="J70" s="4"/>
      <c r="K70" s="4"/>
      <c r="L70" s="4"/>
      <c r="M70" s="4"/>
      <c r="N70" s="4"/>
    </row>
    <row r="71" ht="15.75" customHeight="1">
      <c r="A71" s="4"/>
      <c r="B71" s="4"/>
      <c r="C71" s="4"/>
      <c r="D71" s="4"/>
      <c r="E71" s="4"/>
      <c r="F71" s="4"/>
      <c r="G71" s="4"/>
      <c r="H71" s="4"/>
      <c r="I71" s="4"/>
      <c r="J71" s="4"/>
      <c r="K71" s="4"/>
      <c r="L71" s="4"/>
      <c r="M71" s="4"/>
      <c r="N71" s="4"/>
    </row>
    <row r="72" ht="15.75" customHeight="1">
      <c r="A72" s="4"/>
      <c r="B72" s="4"/>
      <c r="C72" s="4"/>
      <c r="D72" s="4"/>
      <c r="E72" s="4"/>
      <c r="F72" s="4"/>
      <c r="G72" s="4"/>
      <c r="H72" s="4"/>
      <c r="I72" s="4"/>
      <c r="J72" s="4"/>
      <c r="K72" s="4"/>
      <c r="L72" s="4"/>
      <c r="M72" s="4"/>
      <c r="N72" s="4"/>
    </row>
    <row r="73" ht="15.75" customHeight="1">
      <c r="A73" s="4"/>
      <c r="B73" s="4"/>
      <c r="C73" s="4"/>
      <c r="D73" s="4"/>
      <c r="E73" s="4"/>
      <c r="F73" s="4"/>
      <c r="G73" s="4"/>
      <c r="H73" s="4"/>
      <c r="I73" s="4"/>
      <c r="J73" s="4"/>
      <c r="K73" s="4"/>
      <c r="L73" s="4"/>
      <c r="M73" s="4"/>
      <c r="N73" s="4"/>
    </row>
    <row r="74" ht="15.75" customHeight="1">
      <c r="A74" s="4"/>
      <c r="B74" s="4"/>
      <c r="C74" s="4"/>
      <c r="D74" s="4"/>
      <c r="E74" s="4"/>
      <c r="F74" s="4"/>
      <c r="G74" s="4"/>
      <c r="H74" s="4"/>
      <c r="I74" s="4"/>
      <c r="J74" s="4"/>
      <c r="K74" s="4"/>
      <c r="L74" s="4"/>
      <c r="M74" s="4"/>
      <c r="N74" s="4"/>
    </row>
    <row r="75" ht="15.75" customHeight="1">
      <c r="A75" s="4"/>
      <c r="B75" s="4"/>
      <c r="C75" s="4"/>
      <c r="D75" s="4"/>
      <c r="E75" s="4"/>
      <c r="F75" s="4"/>
      <c r="G75" s="4"/>
      <c r="H75" s="4"/>
      <c r="I75" s="4"/>
      <c r="J75" s="4"/>
      <c r="K75" s="4"/>
      <c r="L75" s="4"/>
      <c r="M75" s="4"/>
      <c r="N75" s="4"/>
    </row>
    <row r="76" ht="15.75" customHeight="1">
      <c r="A76" s="4"/>
      <c r="B76" s="4"/>
      <c r="C76" s="4"/>
      <c r="D76" s="4"/>
      <c r="E76" s="4"/>
      <c r="F76" s="4"/>
      <c r="G76" s="4"/>
      <c r="H76" s="4"/>
      <c r="I76" s="4"/>
      <c r="J76" s="4"/>
      <c r="K76" s="4"/>
      <c r="L76" s="4"/>
      <c r="M76" s="4"/>
      <c r="N76" s="4"/>
    </row>
    <row r="77" ht="15.75" customHeight="1">
      <c r="A77" s="4"/>
      <c r="B77" s="4"/>
      <c r="C77" s="4"/>
      <c r="D77" s="4"/>
      <c r="E77" s="4"/>
      <c r="F77" s="4"/>
      <c r="G77" s="4"/>
      <c r="H77" s="4"/>
      <c r="I77" s="4"/>
      <c r="J77" s="4"/>
      <c r="K77" s="4"/>
      <c r="L77" s="4"/>
      <c r="M77" s="4"/>
      <c r="N77" s="4"/>
    </row>
    <row r="78" ht="15.75" customHeight="1">
      <c r="A78" s="4"/>
      <c r="B78" s="4"/>
      <c r="C78" s="4"/>
      <c r="D78" s="4"/>
      <c r="E78" s="4"/>
      <c r="F78" s="4"/>
      <c r="G78" s="4"/>
      <c r="H78" s="4"/>
      <c r="I78" s="4"/>
      <c r="J78" s="4"/>
      <c r="K78" s="4"/>
      <c r="L78" s="4"/>
      <c r="M78" s="4"/>
      <c r="N78" s="4"/>
    </row>
    <row r="79" ht="15.75" customHeight="1">
      <c r="A79" s="4"/>
      <c r="B79" s="4"/>
      <c r="C79" s="4"/>
      <c r="D79" s="4"/>
      <c r="E79" s="4"/>
      <c r="F79" s="4"/>
      <c r="G79" s="4"/>
      <c r="H79" s="4"/>
      <c r="I79" s="4"/>
      <c r="J79" s="4"/>
      <c r="K79" s="4"/>
      <c r="L79" s="4"/>
      <c r="M79" s="4"/>
      <c r="N79" s="4"/>
    </row>
    <row r="80" ht="15.75" customHeight="1">
      <c r="A80" s="4"/>
      <c r="B80" s="4"/>
      <c r="C80" s="4"/>
      <c r="D80" s="4"/>
      <c r="E80" s="4"/>
      <c r="F80" s="4"/>
      <c r="G80" s="4"/>
      <c r="H80" s="4"/>
      <c r="I80" s="4"/>
      <c r="J80" s="4"/>
      <c r="K80" s="4"/>
      <c r="L80" s="4"/>
      <c r="M80" s="4"/>
      <c r="N80" s="4"/>
    </row>
    <row r="81" ht="15.75" customHeight="1">
      <c r="A81" s="4"/>
      <c r="B81" s="4"/>
      <c r="C81" s="4"/>
      <c r="D81" s="4"/>
      <c r="E81" s="4"/>
      <c r="F81" s="4"/>
      <c r="G81" s="4"/>
      <c r="H81" s="4"/>
      <c r="I81" s="4"/>
      <c r="J81" s="4"/>
      <c r="K81" s="4"/>
      <c r="L81" s="4"/>
      <c r="M81" s="4"/>
      <c r="N81" s="4"/>
    </row>
    <row r="82" ht="15.75" customHeight="1">
      <c r="A82" s="4"/>
      <c r="B82" s="4"/>
      <c r="C82" s="4"/>
      <c r="D82" s="4"/>
      <c r="E82" s="4"/>
      <c r="F82" s="4"/>
      <c r="G82" s="4"/>
      <c r="H82" s="4"/>
      <c r="I82" s="4"/>
      <c r="J82" s="4"/>
      <c r="K82" s="4"/>
      <c r="L82" s="4"/>
      <c r="M82" s="4"/>
      <c r="N82" s="4"/>
    </row>
    <row r="83" ht="15.75" customHeight="1">
      <c r="A83" s="4"/>
      <c r="B83" s="4"/>
      <c r="C83" s="4"/>
      <c r="D83" s="4"/>
      <c r="E83" s="4"/>
      <c r="F83" s="4"/>
      <c r="G83" s="4"/>
      <c r="H83" s="4"/>
      <c r="I83" s="4"/>
      <c r="J83" s="4"/>
      <c r="K83" s="4"/>
      <c r="L83" s="4"/>
      <c r="M83" s="4"/>
      <c r="N83" s="4"/>
    </row>
    <row r="84" ht="15.75" customHeight="1">
      <c r="A84" s="4"/>
      <c r="B84" s="4"/>
      <c r="C84" s="4"/>
      <c r="D84" s="4"/>
      <c r="E84" s="4"/>
      <c r="F84" s="4"/>
      <c r="G84" s="4"/>
      <c r="H84" s="4"/>
      <c r="I84" s="4"/>
      <c r="J84" s="4"/>
      <c r="K84" s="4"/>
      <c r="L84" s="4"/>
      <c r="M84" s="4"/>
      <c r="N84" s="4"/>
    </row>
    <row r="85" ht="15.75" customHeight="1">
      <c r="A85" s="4"/>
      <c r="B85" s="4"/>
      <c r="C85" s="4"/>
      <c r="D85" s="4"/>
      <c r="E85" s="4"/>
      <c r="F85" s="4"/>
      <c r="G85" s="4"/>
      <c r="H85" s="4"/>
      <c r="I85" s="4"/>
      <c r="J85" s="4"/>
      <c r="K85" s="4"/>
      <c r="L85" s="4"/>
      <c r="M85" s="4"/>
      <c r="N85" s="4"/>
    </row>
    <row r="86" ht="15.75" customHeight="1">
      <c r="A86" s="4"/>
      <c r="B86" s="4"/>
      <c r="C86" s="4"/>
      <c r="D86" s="4"/>
      <c r="E86" s="4"/>
      <c r="F86" s="4"/>
      <c r="G86" s="4"/>
      <c r="H86" s="4"/>
      <c r="I86" s="4"/>
      <c r="J86" s="4"/>
      <c r="K86" s="4"/>
      <c r="L86" s="4"/>
      <c r="M86" s="4"/>
      <c r="N86" s="4"/>
    </row>
    <row r="87" ht="15.75" customHeight="1">
      <c r="A87" s="4"/>
      <c r="B87" s="4"/>
      <c r="C87" s="4"/>
      <c r="D87" s="4"/>
      <c r="E87" s="4"/>
      <c r="F87" s="4"/>
      <c r="G87" s="4"/>
      <c r="H87" s="4"/>
      <c r="I87" s="4"/>
      <c r="J87" s="4"/>
      <c r="K87" s="4"/>
      <c r="L87" s="4"/>
      <c r="M87" s="4"/>
      <c r="N87" s="4"/>
    </row>
    <row r="88" ht="15.75" customHeight="1">
      <c r="A88" s="4"/>
      <c r="B88" s="4"/>
      <c r="C88" s="4"/>
      <c r="D88" s="4"/>
      <c r="E88" s="4"/>
      <c r="F88" s="4"/>
      <c r="G88" s="4"/>
      <c r="H88" s="4"/>
      <c r="I88" s="4"/>
      <c r="J88" s="4"/>
      <c r="K88" s="4"/>
      <c r="L88" s="4"/>
      <c r="M88" s="4"/>
      <c r="N88" s="4"/>
    </row>
    <row r="89" ht="15.75" customHeight="1">
      <c r="A89" s="4"/>
      <c r="B89" s="4"/>
      <c r="C89" s="4"/>
      <c r="D89" s="4"/>
      <c r="E89" s="4"/>
      <c r="F89" s="4"/>
      <c r="G89" s="4"/>
      <c r="H89" s="4"/>
      <c r="I89" s="4"/>
      <c r="J89" s="4"/>
      <c r="K89" s="4"/>
      <c r="L89" s="4"/>
      <c r="M89" s="4"/>
      <c r="N89" s="4"/>
    </row>
    <row r="90" ht="15.75" customHeight="1">
      <c r="A90" s="4"/>
      <c r="B90" s="4"/>
      <c r="C90" s="4"/>
      <c r="D90" s="4"/>
      <c r="E90" s="4"/>
      <c r="F90" s="4"/>
      <c r="G90" s="4"/>
      <c r="H90" s="4"/>
      <c r="I90" s="4"/>
      <c r="J90" s="4"/>
      <c r="K90" s="4"/>
      <c r="L90" s="4"/>
      <c r="M90" s="4"/>
      <c r="N90" s="4"/>
    </row>
    <row r="91" ht="15.75" customHeight="1">
      <c r="A91" s="4"/>
      <c r="B91" s="4"/>
      <c r="C91" s="4"/>
      <c r="D91" s="4"/>
      <c r="E91" s="4"/>
      <c r="F91" s="4"/>
      <c r="G91" s="4"/>
      <c r="H91" s="4"/>
      <c r="I91" s="4"/>
      <c r="J91" s="4"/>
      <c r="K91" s="4"/>
      <c r="L91" s="4"/>
      <c r="M91" s="4"/>
      <c r="N91" s="4"/>
    </row>
    <row r="92" ht="15.75" customHeight="1">
      <c r="A92" s="4"/>
      <c r="B92" s="4"/>
      <c r="C92" s="4"/>
      <c r="D92" s="4"/>
      <c r="E92" s="4"/>
      <c r="F92" s="4"/>
      <c r="G92" s="4"/>
      <c r="H92" s="4"/>
      <c r="I92" s="4"/>
      <c r="J92" s="4"/>
      <c r="K92" s="4"/>
      <c r="L92" s="4"/>
      <c r="M92" s="4"/>
      <c r="N92" s="4"/>
    </row>
    <row r="93" ht="15.75" customHeight="1">
      <c r="A93" s="4"/>
      <c r="B93" s="4"/>
      <c r="C93" s="4"/>
      <c r="D93" s="4"/>
      <c r="E93" s="4"/>
      <c r="F93" s="4"/>
      <c r="G93" s="4"/>
      <c r="H93" s="4"/>
      <c r="I93" s="4"/>
      <c r="J93" s="4"/>
      <c r="K93" s="4"/>
      <c r="L93" s="4"/>
      <c r="M93" s="4"/>
      <c r="N93" s="4"/>
    </row>
    <row r="94" ht="15.75" customHeight="1">
      <c r="A94" s="4"/>
      <c r="B94" s="4"/>
      <c r="C94" s="4"/>
      <c r="D94" s="4"/>
      <c r="E94" s="4"/>
      <c r="F94" s="4"/>
      <c r="G94" s="4"/>
      <c r="H94" s="4"/>
      <c r="I94" s="4"/>
      <c r="J94" s="4"/>
      <c r="K94" s="4"/>
      <c r="L94" s="4"/>
      <c r="M94" s="4"/>
      <c r="N94" s="4"/>
    </row>
    <row r="95" ht="15.75" customHeight="1">
      <c r="A95" s="4"/>
      <c r="B95" s="4"/>
      <c r="C95" s="4"/>
      <c r="D95" s="4"/>
      <c r="E95" s="4"/>
      <c r="F95" s="4"/>
      <c r="G95" s="4"/>
      <c r="H95" s="4"/>
      <c r="I95" s="4"/>
      <c r="J95" s="4"/>
      <c r="K95" s="4"/>
      <c r="L95" s="4"/>
      <c r="M95" s="4"/>
      <c r="N95" s="4"/>
    </row>
    <row r="96" ht="15.75" customHeight="1">
      <c r="A96" s="4"/>
      <c r="B96" s="4"/>
      <c r="C96" s="4"/>
      <c r="D96" s="4"/>
      <c r="E96" s="4"/>
      <c r="F96" s="4"/>
      <c r="G96" s="4"/>
      <c r="H96" s="4"/>
      <c r="I96" s="4"/>
      <c r="J96" s="4"/>
      <c r="K96" s="4"/>
      <c r="L96" s="4"/>
      <c r="M96" s="4"/>
      <c r="N96" s="4"/>
    </row>
    <row r="97" ht="15.75" customHeight="1">
      <c r="A97" s="4"/>
      <c r="B97" s="4"/>
      <c r="C97" s="4"/>
      <c r="D97" s="4"/>
      <c r="E97" s="4"/>
      <c r="F97" s="4"/>
      <c r="G97" s="4"/>
      <c r="H97" s="4"/>
      <c r="I97" s="4"/>
      <c r="J97" s="4"/>
      <c r="K97" s="4"/>
      <c r="L97" s="4"/>
      <c r="M97" s="4"/>
      <c r="N97" s="4"/>
    </row>
    <row r="98" ht="15.75" customHeight="1">
      <c r="A98" s="4"/>
      <c r="B98" s="4"/>
      <c r="C98" s="4"/>
      <c r="D98" s="4"/>
      <c r="E98" s="4"/>
      <c r="F98" s="4"/>
      <c r="G98" s="4"/>
      <c r="H98" s="4"/>
      <c r="I98" s="4"/>
      <c r="J98" s="4"/>
      <c r="K98" s="4"/>
      <c r="L98" s="4"/>
      <c r="M98" s="4"/>
      <c r="N98" s="4"/>
    </row>
    <row r="99" ht="15.75" customHeight="1">
      <c r="A99" s="4"/>
      <c r="B99" s="4"/>
      <c r="C99" s="4"/>
      <c r="D99" s="4"/>
      <c r="E99" s="4"/>
      <c r="F99" s="4"/>
      <c r="G99" s="4"/>
      <c r="H99" s="4"/>
      <c r="I99" s="4"/>
      <c r="J99" s="4"/>
      <c r="K99" s="4"/>
      <c r="L99" s="4"/>
      <c r="M99" s="4"/>
      <c r="N99" s="4"/>
    </row>
    <row r="100" ht="15.75" customHeight="1">
      <c r="A100" s="4"/>
      <c r="B100" s="4"/>
      <c r="C100" s="4"/>
      <c r="D100" s="4"/>
      <c r="E100" s="4"/>
      <c r="F100" s="4"/>
      <c r="G100" s="4"/>
      <c r="H100" s="4"/>
      <c r="I100" s="4"/>
      <c r="J100" s="4"/>
      <c r="K100" s="4"/>
      <c r="L100" s="4"/>
      <c r="M100" s="4"/>
      <c r="N100" s="4"/>
    </row>
    <row r="101" ht="15.75" customHeight="1">
      <c r="A101" s="4"/>
      <c r="B101" s="4"/>
      <c r="C101" s="4"/>
      <c r="D101" s="4"/>
      <c r="E101" s="4"/>
      <c r="F101" s="4"/>
      <c r="G101" s="4"/>
      <c r="H101" s="4"/>
      <c r="I101" s="4"/>
      <c r="J101" s="4"/>
      <c r="K101" s="4"/>
      <c r="L101" s="4"/>
      <c r="M101" s="4"/>
      <c r="N101" s="4"/>
    </row>
    <row r="102" ht="15.75" customHeight="1">
      <c r="A102" s="4"/>
      <c r="B102" s="4"/>
      <c r="C102" s="4"/>
      <c r="D102" s="4"/>
      <c r="E102" s="4"/>
      <c r="F102" s="4"/>
      <c r="G102" s="4"/>
      <c r="H102" s="4"/>
      <c r="I102" s="4"/>
      <c r="J102" s="4"/>
      <c r="K102" s="4"/>
      <c r="L102" s="4"/>
      <c r="M102" s="4"/>
      <c r="N102" s="4"/>
    </row>
    <row r="103" ht="15.75" customHeight="1">
      <c r="A103" s="4"/>
      <c r="B103" s="4"/>
      <c r="C103" s="4"/>
      <c r="D103" s="4"/>
      <c r="E103" s="4"/>
      <c r="F103" s="4"/>
      <c r="G103" s="4"/>
      <c r="H103" s="4"/>
      <c r="I103" s="4"/>
      <c r="J103" s="4"/>
      <c r="K103" s="4"/>
      <c r="L103" s="4"/>
      <c r="M103" s="4"/>
      <c r="N103" s="4"/>
    </row>
    <row r="104" ht="15.75" customHeight="1">
      <c r="A104" s="4"/>
      <c r="B104" s="4"/>
      <c r="C104" s="4"/>
      <c r="D104" s="4"/>
      <c r="E104" s="4"/>
      <c r="F104" s="4"/>
      <c r="G104" s="4"/>
      <c r="H104" s="4"/>
      <c r="I104" s="4"/>
      <c r="J104" s="4"/>
      <c r="K104" s="4"/>
      <c r="L104" s="4"/>
      <c r="M104" s="4"/>
      <c r="N104" s="4"/>
    </row>
    <row r="105" ht="15.75" customHeight="1">
      <c r="A105" s="4"/>
      <c r="B105" s="4"/>
      <c r="C105" s="4"/>
      <c r="D105" s="4"/>
      <c r="E105" s="4"/>
      <c r="F105" s="4"/>
      <c r="G105" s="4"/>
      <c r="H105" s="4"/>
      <c r="I105" s="4"/>
      <c r="J105" s="4"/>
      <c r="K105" s="4"/>
      <c r="L105" s="4"/>
      <c r="M105" s="4"/>
      <c r="N105" s="4"/>
    </row>
    <row r="106" ht="15.75" customHeight="1">
      <c r="A106" s="4"/>
      <c r="B106" s="4"/>
      <c r="C106" s="4"/>
      <c r="D106" s="4"/>
      <c r="E106" s="4"/>
      <c r="F106" s="4"/>
      <c r="G106" s="4"/>
      <c r="H106" s="4"/>
      <c r="I106" s="4"/>
      <c r="J106" s="4"/>
      <c r="K106" s="4"/>
      <c r="L106" s="4"/>
      <c r="M106" s="4"/>
      <c r="N106" s="4"/>
    </row>
    <row r="107" ht="15.75" customHeight="1">
      <c r="A107" s="4"/>
      <c r="B107" s="4"/>
      <c r="C107" s="4"/>
      <c r="D107" s="4"/>
      <c r="E107" s="4"/>
      <c r="F107" s="4"/>
      <c r="G107" s="4"/>
      <c r="H107" s="4"/>
      <c r="I107" s="4"/>
      <c r="J107" s="4"/>
      <c r="K107" s="4"/>
      <c r="L107" s="4"/>
      <c r="M107" s="4"/>
      <c r="N107" s="4"/>
    </row>
    <row r="108" ht="15.75" customHeight="1">
      <c r="A108" s="4"/>
      <c r="B108" s="4"/>
      <c r="C108" s="4"/>
      <c r="D108" s="4"/>
      <c r="E108" s="4"/>
      <c r="F108" s="4"/>
      <c r="G108" s="4"/>
      <c r="H108" s="4"/>
      <c r="I108" s="4"/>
      <c r="J108" s="4"/>
      <c r="K108" s="4"/>
      <c r="L108" s="4"/>
      <c r="M108" s="4"/>
      <c r="N108" s="4"/>
    </row>
    <row r="109" ht="15.75" customHeight="1">
      <c r="A109" s="4"/>
      <c r="B109" s="4"/>
      <c r="C109" s="4"/>
      <c r="D109" s="4"/>
      <c r="E109" s="4"/>
      <c r="F109" s="4"/>
      <c r="G109" s="4"/>
      <c r="H109" s="4"/>
      <c r="I109" s="4"/>
      <c r="J109" s="4"/>
      <c r="K109" s="4"/>
      <c r="L109" s="4"/>
      <c r="M109" s="4"/>
      <c r="N109" s="4"/>
    </row>
    <row r="110" ht="15.75" customHeight="1">
      <c r="A110" s="4"/>
      <c r="B110" s="4"/>
      <c r="C110" s="4"/>
      <c r="D110" s="4"/>
      <c r="E110" s="4"/>
      <c r="F110" s="4"/>
      <c r="G110" s="4"/>
      <c r="H110" s="4"/>
      <c r="I110" s="4"/>
      <c r="J110" s="4"/>
      <c r="K110" s="4"/>
      <c r="L110" s="4"/>
      <c r="M110" s="4"/>
      <c r="N110" s="4"/>
    </row>
    <row r="111" ht="15.75" customHeight="1">
      <c r="A111" s="4"/>
      <c r="B111" s="4"/>
      <c r="C111" s="4"/>
      <c r="D111" s="4"/>
      <c r="E111" s="4"/>
      <c r="F111" s="4"/>
      <c r="G111" s="4"/>
      <c r="H111" s="4"/>
      <c r="I111" s="4"/>
      <c r="J111" s="4"/>
      <c r="K111" s="4"/>
      <c r="L111" s="4"/>
      <c r="M111" s="4"/>
      <c r="N111" s="4"/>
    </row>
    <row r="112" ht="15.75" customHeight="1">
      <c r="A112" s="4"/>
      <c r="B112" s="4"/>
      <c r="C112" s="4"/>
      <c r="D112" s="4"/>
      <c r="E112" s="4"/>
      <c r="F112" s="4"/>
      <c r="G112" s="4"/>
      <c r="H112" s="4"/>
      <c r="I112" s="4"/>
      <c r="J112" s="4"/>
      <c r="K112" s="4"/>
      <c r="L112" s="4"/>
      <c r="M112" s="4"/>
      <c r="N112" s="4"/>
    </row>
    <row r="113" ht="15.75" customHeight="1">
      <c r="A113" s="4"/>
      <c r="B113" s="4"/>
      <c r="C113" s="4"/>
      <c r="D113" s="4"/>
      <c r="E113" s="4"/>
      <c r="F113" s="4"/>
      <c r="G113" s="4"/>
      <c r="H113" s="4"/>
      <c r="I113" s="4"/>
      <c r="J113" s="4"/>
      <c r="K113" s="4"/>
      <c r="L113" s="4"/>
      <c r="M113" s="4"/>
      <c r="N113" s="4"/>
    </row>
    <row r="114" ht="15.75" customHeight="1">
      <c r="A114" s="4"/>
      <c r="B114" s="4"/>
      <c r="C114" s="4"/>
      <c r="D114" s="4"/>
      <c r="E114" s="4"/>
      <c r="F114" s="4"/>
      <c r="G114" s="4"/>
      <c r="H114" s="4"/>
      <c r="I114" s="4"/>
      <c r="J114" s="4"/>
      <c r="K114" s="4"/>
      <c r="L114" s="4"/>
      <c r="M114" s="4"/>
      <c r="N114" s="4"/>
    </row>
    <row r="115" ht="15.75" customHeight="1">
      <c r="A115" s="4"/>
      <c r="B115" s="4"/>
      <c r="C115" s="4"/>
      <c r="D115" s="4"/>
      <c r="E115" s="4"/>
      <c r="F115" s="4"/>
      <c r="G115" s="4"/>
      <c r="H115" s="4"/>
      <c r="I115" s="4"/>
      <c r="J115" s="4"/>
      <c r="K115" s="4"/>
      <c r="L115" s="4"/>
      <c r="M115" s="4"/>
      <c r="N115" s="4"/>
    </row>
    <row r="116" ht="15.75" customHeight="1">
      <c r="A116" s="4"/>
      <c r="B116" s="4"/>
      <c r="C116" s="4"/>
      <c r="D116" s="4"/>
      <c r="E116" s="4"/>
      <c r="F116" s="4"/>
      <c r="G116" s="4"/>
      <c r="H116" s="4"/>
      <c r="I116" s="4"/>
      <c r="J116" s="4"/>
      <c r="K116" s="4"/>
      <c r="L116" s="4"/>
      <c r="M116" s="4"/>
      <c r="N116" s="4"/>
    </row>
    <row r="117" ht="15.75" customHeight="1">
      <c r="A117" s="4"/>
      <c r="B117" s="4"/>
      <c r="C117" s="4"/>
      <c r="D117" s="4"/>
      <c r="E117" s="4"/>
      <c r="F117" s="4"/>
      <c r="G117" s="4"/>
      <c r="H117" s="4"/>
      <c r="I117" s="4"/>
      <c r="J117" s="4"/>
      <c r="K117" s="4"/>
      <c r="L117" s="4"/>
      <c r="M117" s="4"/>
      <c r="N117" s="4"/>
    </row>
    <row r="118" ht="15.75" customHeight="1">
      <c r="A118" s="4"/>
      <c r="B118" s="4"/>
      <c r="C118" s="4"/>
      <c r="D118" s="4"/>
      <c r="E118" s="4"/>
      <c r="F118" s="4"/>
      <c r="G118" s="4"/>
      <c r="H118" s="4"/>
      <c r="I118" s="4"/>
      <c r="J118" s="4"/>
      <c r="K118" s="4"/>
      <c r="L118" s="4"/>
      <c r="M118" s="4"/>
      <c r="N118" s="4"/>
    </row>
    <row r="119" ht="15.75" customHeight="1">
      <c r="A119" s="4"/>
      <c r="B119" s="4"/>
      <c r="C119" s="4"/>
      <c r="D119" s="4"/>
      <c r="E119" s="4"/>
      <c r="F119" s="4"/>
      <c r="G119" s="4"/>
      <c r="H119" s="4"/>
      <c r="I119" s="4"/>
      <c r="J119" s="4"/>
      <c r="K119" s="4"/>
      <c r="L119" s="4"/>
      <c r="M119" s="4"/>
      <c r="N119" s="4"/>
    </row>
    <row r="120" ht="15.75" customHeight="1">
      <c r="A120" s="4"/>
      <c r="B120" s="4"/>
      <c r="C120" s="4"/>
      <c r="D120" s="4"/>
      <c r="E120" s="4"/>
      <c r="F120" s="4"/>
      <c r="G120" s="4"/>
      <c r="H120" s="4"/>
      <c r="I120" s="4"/>
      <c r="J120" s="4"/>
      <c r="K120" s="4"/>
      <c r="L120" s="4"/>
      <c r="M120" s="4"/>
      <c r="N120" s="4"/>
    </row>
    <row r="121" ht="15.75" customHeight="1">
      <c r="A121" s="4"/>
      <c r="B121" s="4"/>
      <c r="C121" s="4"/>
      <c r="D121" s="4"/>
      <c r="E121" s="4"/>
      <c r="F121" s="4"/>
      <c r="G121" s="4"/>
      <c r="H121" s="4"/>
      <c r="I121" s="4"/>
      <c r="J121" s="4"/>
      <c r="K121" s="4"/>
      <c r="L121" s="4"/>
      <c r="M121" s="4"/>
      <c r="N121" s="4"/>
    </row>
    <row r="122" ht="15.75" customHeight="1">
      <c r="A122" s="4"/>
      <c r="B122" s="4"/>
      <c r="C122" s="4"/>
      <c r="D122" s="4"/>
      <c r="E122" s="4"/>
      <c r="F122" s="4"/>
      <c r="G122" s="4"/>
      <c r="H122" s="4"/>
      <c r="I122" s="4"/>
      <c r="J122" s="4"/>
      <c r="K122" s="4"/>
      <c r="L122" s="4"/>
      <c r="M122" s="4"/>
      <c r="N122" s="4"/>
    </row>
    <row r="123" ht="15.75" customHeight="1">
      <c r="A123" s="4"/>
      <c r="B123" s="4"/>
      <c r="C123" s="4"/>
      <c r="D123" s="4"/>
      <c r="E123" s="4"/>
      <c r="F123" s="4"/>
      <c r="G123" s="4"/>
      <c r="H123" s="4"/>
      <c r="I123" s="4"/>
      <c r="J123" s="4"/>
      <c r="K123" s="4"/>
      <c r="L123" s="4"/>
      <c r="M123" s="4"/>
      <c r="N123" s="4"/>
    </row>
    <row r="124" ht="15.75" customHeight="1">
      <c r="A124" s="4"/>
      <c r="B124" s="4"/>
      <c r="C124" s="4"/>
      <c r="D124" s="4"/>
      <c r="E124" s="4"/>
      <c r="F124" s="4"/>
      <c r="G124" s="4"/>
      <c r="H124" s="4"/>
      <c r="I124" s="4"/>
      <c r="J124" s="4"/>
      <c r="K124" s="4"/>
      <c r="L124" s="4"/>
      <c r="M124" s="4"/>
      <c r="N124" s="4"/>
    </row>
    <row r="125" ht="15.75" customHeight="1">
      <c r="A125" s="4"/>
      <c r="B125" s="4"/>
      <c r="C125" s="4"/>
      <c r="D125" s="4"/>
      <c r="E125" s="4"/>
      <c r="F125" s="4"/>
      <c r="G125" s="4"/>
      <c r="H125" s="4"/>
      <c r="I125" s="4"/>
      <c r="J125" s="4"/>
      <c r="K125" s="4"/>
      <c r="L125" s="4"/>
      <c r="M125" s="4"/>
      <c r="N125" s="4"/>
    </row>
    <row r="126" ht="15.75" customHeight="1">
      <c r="A126" s="4"/>
      <c r="B126" s="4"/>
      <c r="C126" s="4"/>
      <c r="D126" s="4"/>
      <c r="E126" s="4"/>
      <c r="F126" s="4"/>
      <c r="G126" s="4"/>
      <c r="H126" s="4"/>
      <c r="I126" s="4"/>
      <c r="J126" s="4"/>
      <c r="K126" s="4"/>
      <c r="L126" s="4"/>
      <c r="M126" s="4"/>
      <c r="N126" s="4"/>
    </row>
    <row r="127" ht="15.75" customHeight="1">
      <c r="A127" s="4"/>
      <c r="B127" s="4"/>
      <c r="C127" s="4"/>
      <c r="D127" s="4"/>
      <c r="E127" s="4"/>
      <c r="F127" s="4"/>
      <c r="G127" s="4"/>
      <c r="H127" s="4"/>
      <c r="I127" s="4"/>
      <c r="J127" s="4"/>
      <c r="K127" s="4"/>
      <c r="L127" s="4"/>
      <c r="M127" s="4"/>
      <c r="N127" s="4"/>
    </row>
    <row r="128" ht="15.75" customHeight="1">
      <c r="A128" s="4"/>
      <c r="B128" s="4"/>
      <c r="C128" s="4"/>
      <c r="D128" s="4"/>
      <c r="E128" s="4"/>
      <c r="F128" s="4"/>
      <c r="G128" s="4"/>
      <c r="H128" s="4"/>
      <c r="I128" s="4"/>
      <c r="J128" s="4"/>
      <c r="K128" s="4"/>
      <c r="L128" s="4"/>
      <c r="M128" s="4"/>
      <c r="N128" s="4"/>
    </row>
    <row r="129" ht="15.75" customHeight="1">
      <c r="A129" s="4"/>
      <c r="B129" s="4"/>
      <c r="C129" s="4"/>
      <c r="D129" s="4"/>
      <c r="E129" s="4"/>
      <c r="F129" s="4"/>
      <c r="G129" s="4"/>
      <c r="H129" s="4"/>
      <c r="I129" s="4"/>
      <c r="J129" s="4"/>
      <c r="K129" s="4"/>
      <c r="L129" s="4"/>
      <c r="M129" s="4"/>
      <c r="N129" s="4"/>
    </row>
    <row r="130" ht="15.75" customHeight="1">
      <c r="A130" s="4"/>
      <c r="B130" s="4"/>
      <c r="C130" s="4"/>
      <c r="D130" s="4"/>
      <c r="E130" s="4"/>
      <c r="F130" s="4"/>
      <c r="G130" s="4"/>
      <c r="H130" s="4"/>
      <c r="I130" s="4"/>
      <c r="J130" s="4"/>
      <c r="K130" s="4"/>
      <c r="L130" s="4"/>
      <c r="M130" s="4"/>
      <c r="N130" s="4"/>
    </row>
    <row r="131" ht="15.75" customHeight="1">
      <c r="A131" s="4"/>
      <c r="B131" s="4"/>
      <c r="C131" s="4"/>
      <c r="D131" s="4"/>
      <c r="E131" s="4"/>
      <c r="F131" s="4"/>
      <c r="G131" s="4"/>
      <c r="H131" s="4"/>
      <c r="I131" s="4"/>
      <c r="J131" s="4"/>
      <c r="K131" s="4"/>
      <c r="L131" s="4"/>
      <c r="M131" s="4"/>
      <c r="N131" s="4"/>
    </row>
    <row r="132" ht="15.75" customHeight="1">
      <c r="A132" s="4"/>
      <c r="B132" s="4"/>
      <c r="C132" s="4"/>
      <c r="D132" s="4"/>
      <c r="E132" s="4"/>
      <c r="F132" s="4"/>
      <c r="G132" s="4"/>
      <c r="H132" s="4"/>
      <c r="I132" s="4"/>
      <c r="J132" s="4"/>
      <c r="K132" s="4"/>
      <c r="L132" s="4"/>
      <c r="M132" s="4"/>
      <c r="N132" s="4"/>
    </row>
    <row r="133" ht="15.75" customHeight="1">
      <c r="A133" s="4"/>
      <c r="B133" s="4"/>
      <c r="C133" s="4"/>
      <c r="D133" s="4"/>
      <c r="E133" s="4"/>
      <c r="F133" s="4"/>
      <c r="G133" s="4"/>
      <c r="H133" s="4"/>
      <c r="I133" s="4"/>
      <c r="J133" s="4"/>
      <c r="K133" s="4"/>
      <c r="L133" s="4"/>
      <c r="M133" s="4"/>
      <c r="N133" s="4"/>
    </row>
    <row r="134" ht="15.75" customHeight="1">
      <c r="A134" s="4"/>
      <c r="B134" s="4"/>
      <c r="C134" s="4"/>
      <c r="D134" s="4"/>
      <c r="E134" s="4"/>
      <c r="F134" s="4"/>
      <c r="G134" s="4"/>
      <c r="H134" s="4"/>
      <c r="I134" s="4"/>
      <c r="J134" s="4"/>
      <c r="K134" s="4"/>
      <c r="L134" s="4"/>
      <c r="M134" s="4"/>
      <c r="N134" s="4"/>
    </row>
    <row r="135" ht="15.75" customHeight="1">
      <c r="A135" s="4"/>
      <c r="B135" s="4"/>
      <c r="C135" s="4"/>
      <c r="D135" s="4"/>
      <c r="E135" s="4"/>
      <c r="F135" s="4"/>
      <c r="G135" s="4"/>
      <c r="H135" s="4"/>
      <c r="I135" s="4"/>
      <c r="J135" s="4"/>
      <c r="K135" s="4"/>
      <c r="L135" s="4"/>
      <c r="M135" s="4"/>
      <c r="N135" s="4"/>
    </row>
    <row r="136" ht="15.75" customHeight="1">
      <c r="A136" s="4"/>
      <c r="B136" s="4"/>
      <c r="C136" s="4"/>
      <c r="D136" s="4"/>
      <c r="E136" s="4"/>
      <c r="F136" s="4"/>
      <c r="G136" s="4"/>
      <c r="H136" s="4"/>
      <c r="I136" s="4"/>
      <c r="J136" s="4"/>
      <c r="K136" s="4"/>
      <c r="L136" s="4"/>
      <c r="M136" s="4"/>
      <c r="N136" s="4"/>
    </row>
    <row r="137" ht="15.75" customHeight="1">
      <c r="A137" s="4"/>
      <c r="B137" s="4"/>
      <c r="C137" s="4"/>
      <c r="D137" s="4"/>
      <c r="E137" s="4"/>
      <c r="F137" s="4"/>
      <c r="G137" s="4"/>
      <c r="H137" s="4"/>
      <c r="I137" s="4"/>
      <c r="J137" s="4"/>
      <c r="K137" s="4"/>
      <c r="L137" s="4"/>
      <c r="M137" s="4"/>
      <c r="N137" s="4"/>
    </row>
    <row r="138" ht="15.75" customHeight="1">
      <c r="A138" s="4"/>
      <c r="B138" s="4"/>
      <c r="C138" s="4"/>
      <c r="D138" s="4"/>
      <c r="E138" s="4"/>
      <c r="F138" s="4"/>
      <c r="G138" s="4"/>
      <c r="H138" s="4"/>
      <c r="I138" s="4"/>
      <c r="J138" s="4"/>
      <c r="K138" s="4"/>
      <c r="L138" s="4"/>
      <c r="M138" s="4"/>
      <c r="N138" s="4"/>
    </row>
    <row r="139" ht="15.75" customHeight="1">
      <c r="A139" s="4"/>
      <c r="B139" s="4"/>
      <c r="C139" s="4"/>
      <c r="D139" s="4"/>
      <c r="E139" s="4"/>
      <c r="F139" s="4"/>
      <c r="G139" s="4"/>
      <c r="H139" s="4"/>
      <c r="I139" s="4"/>
      <c r="J139" s="4"/>
      <c r="K139" s="4"/>
      <c r="L139" s="4"/>
      <c r="M139" s="4"/>
      <c r="N139" s="4"/>
    </row>
    <row r="140" ht="15.75" customHeight="1">
      <c r="A140" s="4"/>
      <c r="B140" s="4"/>
      <c r="C140" s="4"/>
      <c r="D140" s="4"/>
      <c r="E140" s="4"/>
      <c r="F140" s="4"/>
      <c r="G140" s="4"/>
      <c r="H140" s="4"/>
      <c r="I140" s="4"/>
      <c r="J140" s="4"/>
      <c r="K140" s="4"/>
      <c r="L140" s="4"/>
      <c r="M140" s="4"/>
      <c r="N140" s="4"/>
    </row>
    <row r="141" ht="15.75" customHeight="1">
      <c r="A141" s="4"/>
      <c r="B141" s="4"/>
      <c r="C141" s="4"/>
      <c r="D141" s="4"/>
      <c r="E141" s="4"/>
      <c r="F141" s="4"/>
      <c r="G141" s="4"/>
      <c r="H141" s="4"/>
      <c r="I141" s="4"/>
      <c r="J141" s="4"/>
      <c r="K141" s="4"/>
      <c r="L141" s="4"/>
      <c r="M141" s="4"/>
      <c r="N141" s="4"/>
    </row>
    <row r="142" ht="15.75" customHeight="1">
      <c r="A142" s="4"/>
      <c r="B142" s="4"/>
      <c r="C142" s="4"/>
      <c r="D142" s="4"/>
      <c r="E142" s="4"/>
      <c r="F142" s="4"/>
      <c r="G142" s="4"/>
      <c r="H142" s="4"/>
      <c r="I142" s="4"/>
      <c r="J142" s="4"/>
      <c r="K142" s="4"/>
      <c r="L142" s="4"/>
      <c r="M142" s="4"/>
      <c r="N142" s="4"/>
    </row>
    <row r="143" ht="15.75" customHeight="1">
      <c r="A143" s="4"/>
      <c r="B143" s="4"/>
      <c r="C143" s="4"/>
      <c r="D143" s="4"/>
      <c r="E143" s="4"/>
      <c r="F143" s="4"/>
      <c r="G143" s="4"/>
      <c r="H143" s="4"/>
      <c r="I143" s="4"/>
      <c r="J143" s="4"/>
      <c r="K143" s="4"/>
      <c r="L143" s="4"/>
      <c r="M143" s="4"/>
      <c r="N143" s="4"/>
    </row>
    <row r="144" ht="15.75" customHeight="1">
      <c r="A144" s="4"/>
      <c r="B144" s="4"/>
      <c r="C144" s="4"/>
      <c r="D144" s="4"/>
      <c r="E144" s="4"/>
      <c r="F144" s="4"/>
      <c r="G144" s="4"/>
      <c r="H144" s="4"/>
      <c r="I144" s="4"/>
      <c r="J144" s="4"/>
      <c r="K144" s="4"/>
      <c r="L144" s="4"/>
      <c r="M144" s="4"/>
      <c r="N144" s="4"/>
    </row>
    <row r="145" ht="15.75" customHeight="1">
      <c r="A145" s="4"/>
      <c r="B145" s="4"/>
      <c r="C145" s="4"/>
      <c r="D145" s="4"/>
      <c r="E145" s="4"/>
      <c r="F145" s="4"/>
      <c r="G145" s="4"/>
      <c r="H145" s="4"/>
      <c r="I145" s="4"/>
      <c r="J145" s="4"/>
      <c r="K145" s="4"/>
      <c r="L145" s="4"/>
      <c r="M145" s="4"/>
      <c r="N145" s="4"/>
    </row>
    <row r="146" ht="15.75" customHeight="1">
      <c r="A146" s="4"/>
      <c r="B146" s="4"/>
      <c r="C146" s="4"/>
      <c r="D146" s="4"/>
      <c r="E146" s="4"/>
      <c r="F146" s="4"/>
      <c r="G146" s="4"/>
      <c r="H146" s="4"/>
      <c r="I146" s="4"/>
      <c r="J146" s="4"/>
      <c r="K146" s="4"/>
      <c r="L146" s="4"/>
      <c r="M146" s="4"/>
      <c r="N146" s="4"/>
    </row>
    <row r="147" ht="15.75" customHeight="1">
      <c r="A147" s="4"/>
      <c r="B147" s="4"/>
      <c r="C147" s="4"/>
      <c r="D147" s="4"/>
      <c r="E147" s="4"/>
      <c r="F147" s="4"/>
      <c r="G147" s="4"/>
      <c r="H147" s="4"/>
      <c r="I147" s="4"/>
      <c r="J147" s="4"/>
      <c r="K147" s="4"/>
      <c r="L147" s="4"/>
      <c r="M147" s="4"/>
      <c r="N147" s="4"/>
    </row>
    <row r="148" ht="15.75" customHeight="1">
      <c r="A148" s="4"/>
      <c r="B148" s="4"/>
      <c r="C148" s="4"/>
      <c r="D148" s="4"/>
      <c r="E148" s="4"/>
      <c r="F148" s="4"/>
      <c r="G148" s="4"/>
      <c r="H148" s="4"/>
      <c r="I148" s="4"/>
      <c r="J148" s="4"/>
      <c r="K148" s="4"/>
      <c r="L148" s="4"/>
      <c r="M148" s="4"/>
      <c r="N148" s="4"/>
    </row>
    <row r="149" ht="15.75" customHeight="1">
      <c r="A149" s="4"/>
      <c r="B149" s="4"/>
      <c r="C149" s="4"/>
      <c r="D149" s="4"/>
      <c r="E149" s="4"/>
      <c r="F149" s="4"/>
      <c r="G149" s="4"/>
      <c r="H149" s="4"/>
      <c r="I149" s="4"/>
      <c r="J149" s="4"/>
      <c r="K149" s="4"/>
      <c r="L149" s="4"/>
      <c r="M149" s="4"/>
      <c r="N149" s="4"/>
    </row>
    <row r="150" ht="15.75" customHeight="1">
      <c r="A150" s="4"/>
      <c r="B150" s="4"/>
      <c r="C150" s="4"/>
      <c r="D150" s="4"/>
      <c r="E150" s="4"/>
      <c r="F150" s="4"/>
      <c r="G150" s="4"/>
      <c r="H150" s="4"/>
      <c r="I150" s="4"/>
      <c r="J150" s="4"/>
      <c r="K150" s="4"/>
      <c r="L150" s="4"/>
      <c r="M150" s="4"/>
      <c r="N150" s="4"/>
    </row>
    <row r="151" ht="15.75" customHeight="1">
      <c r="A151" s="4"/>
      <c r="B151" s="4"/>
      <c r="C151" s="4"/>
      <c r="D151" s="4"/>
      <c r="E151" s="4"/>
      <c r="F151" s="4"/>
      <c r="G151" s="4"/>
      <c r="H151" s="4"/>
      <c r="I151" s="4"/>
      <c r="J151" s="4"/>
      <c r="K151" s="4"/>
      <c r="L151" s="4"/>
      <c r="M151" s="4"/>
      <c r="N151" s="4"/>
    </row>
    <row r="152" ht="15.75" customHeight="1">
      <c r="A152" s="4"/>
      <c r="B152" s="4"/>
      <c r="C152" s="4"/>
      <c r="D152" s="4"/>
      <c r="E152" s="4"/>
      <c r="F152" s="4"/>
      <c r="G152" s="4"/>
      <c r="H152" s="4"/>
      <c r="I152" s="4"/>
      <c r="J152" s="4"/>
      <c r="K152" s="4"/>
      <c r="L152" s="4"/>
      <c r="M152" s="4"/>
      <c r="N152" s="4"/>
    </row>
    <row r="153" ht="15.75" customHeight="1">
      <c r="A153" s="4"/>
      <c r="B153" s="4"/>
      <c r="C153" s="4"/>
      <c r="D153" s="4"/>
      <c r="E153" s="4"/>
      <c r="F153" s="4"/>
      <c r="G153" s="4"/>
      <c r="H153" s="4"/>
      <c r="I153" s="4"/>
      <c r="J153" s="4"/>
      <c r="K153" s="4"/>
      <c r="L153" s="4"/>
      <c r="M153" s="4"/>
      <c r="N153" s="4"/>
    </row>
    <row r="154" ht="15.75" customHeight="1">
      <c r="A154" s="4"/>
      <c r="B154" s="4"/>
      <c r="C154" s="4"/>
      <c r="D154" s="4"/>
      <c r="E154" s="4"/>
      <c r="F154" s="4"/>
      <c r="G154" s="4"/>
      <c r="H154" s="4"/>
      <c r="I154" s="4"/>
      <c r="J154" s="4"/>
      <c r="K154" s="4"/>
      <c r="L154" s="4"/>
      <c r="M154" s="4"/>
      <c r="N154" s="4"/>
    </row>
    <row r="155" ht="15.75" customHeight="1">
      <c r="A155" s="4"/>
      <c r="B155" s="4"/>
      <c r="C155" s="4"/>
      <c r="D155" s="4"/>
      <c r="E155" s="4"/>
      <c r="F155" s="4"/>
      <c r="G155" s="4"/>
      <c r="H155" s="4"/>
      <c r="I155" s="4"/>
      <c r="J155" s="4"/>
      <c r="K155" s="4"/>
      <c r="L155" s="4"/>
      <c r="M155" s="4"/>
      <c r="N155" s="4"/>
    </row>
    <row r="156" ht="15.75" customHeight="1">
      <c r="A156" s="4"/>
      <c r="B156" s="4"/>
      <c r="C156" s="4"/>
      <c r="D156" s="4"/>
      <c r="E156" s="4"/>
      <c r="F156" s="4"/>
      <c r="G156" s="4"/>
      <c r="H156" s="4"/>
      <c r="I156" s="4"/>
      <c r="J156" s="4"/>
      <c r="K156" s="4"/>
      <c r="L156" s="4"/>
      <c r="M156" s="4"/>
      <c r="N156" s="4"/>
    </row>
    <row r="157" ht="15.75" customHeight="1">
      <c r="A157" s="4"/>
      <c r="B157" s="4"/>
      <c r="C157" s="4"/>
      <c r="D157" s="4"/>
      <c r="E157" s="4"/>
      <c r="F157" s="4"/>
      <c r="G157" s="4"/>
      <c r="H157" s="4"/>
      <c r="I157" s="4"/>
      <c r="J157" s="4"/>
      <c r="K157" s="4"/>
      <c r="L157" s="4"/>
      <c r="M157" s="4"/>
      <c r="N157" s="4"/>
    </row>
    <row r="158" ht="15.75" customHeight="1">
      <c r="A158" s="4"/>
      <c r="B158" s="4"/>
      <c r="C158" s="4"/>
      <c r="D158" s="4"/>
      <c r="E158" s="4"/>
      <c r="F158" s="4"/>
      <c r="G158" s="4"/>
      <c r="H158" s="4"/>
      <c r="I158" s="4"/>
      <c r="J158" s="4"/>
      <c r="K158" s="4"/>
      <c r="L158" s="4"/>
      <c r="M158" s="4"/>
      <c r="N158" s="4"/>
    </row>
    <row r="159" ht="15.75" customHeight="1">
      <c r="A159" s="4"/>
      <c r="B159" s="4"/>
      <c r="C159" s="4"/>
      <c r="D159" s="4"/>
      <c r="E159" s="4"/>
      <c r="F159" s="4"/>
      <c r="G159" s="4"/>
      <c r="H159" s="4"/>
      <c r="I159" s="4"/>
      <c r="J159" s="4"/>
      <c r="K159" s="4"/>
      <c r="L159" s="4"/>
      <c r="M159" s="4"/>
      <c r="N159" s="4"/>
    </row>
    <row r="160" ht="15.75" customHeight="1">
      <c r="A160" s="4"/>
      <c r="B160" s="4"/>
      <c r="C160" s="4"/>
      <c r="D160" s="4"/>
      <c r="E160" s="4"/>
      <c r="F160" s="4"/>
      <c r="G160" s="4"/>
      <c r="H160" s="4"/>
      <c r="I160" s="4"/>
      <c r="J160" s="4"/>
      <c r="K160" s="4"/>
      <c r="L160" s="4"/>
      <c r="M160" s="4"/>
      <c r="N160" s="4"/>
    </row>
    <row r="161" ht="15.75" customHeight="1">
      <c r="A161" s="4"/>
      <c r="B161" s="4"/>
      <c r="C161" s="4"/>
      <c r="D161" s="4"/>
      <c r="E161" s="4"/>
      <c r="F161" s="4"/>
      <c r="G161" s="4"/>
      <c r="H161" s="4"/>
      <c r="I161" s="4"/>
      <c r="J161" s="4"/>
      <c r="K161" s="4"/>
      <c r="L161" s="4"/>
      <c r="M161" s="4"/>
      <c r="N161" s="4"/>
    </row>
    <row r="162" ht="15.75" customHeight="1">
      <c r="A162" s="4"/>
      <c r="B162" s="4"/>
      <c r="C162" s="4"/>
      <c r="D162" s="4"/>
      <c r="E162" s="4"/>
      <c r="F162" s="4"/>
      <c r="G162" s="4"/>
      <c r="H162" s="4"/>
      <c r="I162" s="4"/>
      <c r="J162" s="4"/>
      <c r="K162" s="4"/>
      <c r="L162" s="4"/>
      <c r="M162" s="4"/>
      <c r="N162" s="4"/>
    </row>
    <row r="163" ht="15.75" customHeight="1">
      <c r="A163" s="4"/>
      <c r="B163" s="4"/>
      <c r="C163" s="4"/>
      <c r="D163" s="4"/>
      <c r="E163" s="4"/>
      <c r="F163" s="4"/>
      <c r="G163" s="4"/>
      <c r="H163" s="4"/>
      <c r="I163" s="4"/>
      <c r="J163" s="4"/>
      <c r="K163" s="4"/>
      <c r="L163" s="4"/>
      <c r="M163" s="4"/>
      <c r="N163" s="4"/>
    </row>
    <row r="164" ht="15.75" customHeight="1">
      <c r="A164" s="4"/>
      <c r="B164" s="4"/>
      <c r="C164" s="4"/>
      <c r="D164" s="4"/>
      <c r="E164" s="4"/>
      <c r="F164" s="4"/>
      <c r="G164" s="4"/>
      <c r="H164" s="4"/>
      <c r="I164" s="4"/>
      <c r="J164" s="4"/>
      <c r="K164" s="4"/>
      <c r="L164" s="4"/>
      <c r="M164" s="4"/>
      <c r="N164" s="4"/>
    </row>
    <row r="165" ht="15.75" customHeight="1">
      <c r="A165" s="4"/>
      <c r="B165" s="4"/>
      <c r="C165" s="4"/>
      <c r="D165" s="4"/>
      <c r="E165" s="4"/>
      <c r="F165" s="4"/>
      <c r="G165" s="4"/>
      <c r="H165" s="4"/>
      <c r="I165" s="4"/>
      <c r="J165" s="4"/>
      <c r="K165" s="4"/>
      <c r="L165" s="4"/>
      <c r="M165" s="4"/>
      <c r="N165" s="4"/>
    </row>
    <row r="166" ht="15.75" customHeight="1">
      <c r="A166" s="4"/>
      <c r="B166" s="4"/>
      <c r="C166" s="4"/>
      <c r="D166" s="4"/>
      <c r="E166" s="4"/>
      <c r="F166" s="4"/>
      <c r="G166" s="4"/>
      <c r="H166" s="4"/>
      <c r="I166" s="4"/>
      <c r="J166" s="4"/>
      <c r="K166" s="4"/>
      <c r="L166" s="4"/>
      <c r="M166" s="4"/>
      <c r="N166" s="4"/>
    </row>
    <row r="167" ht="15.75" customHeight="1">
      <c r="A167" s="4"/>
      <c r="B167" s="4"/>
      <c r="C167" s="4"/>
      <c r="D167" s="4"/>
      <c r="E167" s="4"/>
      <c r="F167" s="4"/>
      <c r="G167" s="4"/>
      <c r="H167" s="4"/>
      <c r="I167" s="4"/>
      <c r="J167" s="4"/>
      <c r="K167" s="4"/>
      <c r="L167" s="4"/>
      <c r="M167" s="4"/>
      <c r="N167" s="4"/>
    </row>
    <row r="168" ht="15.75" customHeight="1">
      <c r="A168" s="4"/>
      <c r="B168" s="4"/>
      <c r="C168" s="4"/>
      <c r="D168" s="4"/>
      <c r="E168" s="4"/>
      <c r="F168" s="4"/>
      <c r="G168" s="4"/>
      <c r="H168" s="4"/>
      <c r="I168" s="4"/>
      <c r="J168" s="4"/>
      <c r="K168" s="4"/>
      <c r="L168" s="4"/>
      <c r="M168" s="4"/>
      <c r="N168" s="4"/>
    </row>
    <row r="169" ht="15.75" customHeight="1">
      <c r="A169" s="4"/>
      <c r="B169" s="4"/>
      <c r="C169" s="4"/>
      <c r="D169" s="4"/>
      <c r="E169" s="4"/>
      <c r="F169" s="4"/>
      <c r="G169" s="4"/>
      <c r="H169" s="4"/>
      <c r="I169" s="4"/>
      <c r="J169" s="4"/>
      <c r="K169" s="4"/>
      <c r="L169" s="4"/>
      <c r="M169" s="4"/>
      <c r="N169" s="4"/>
    </row>
    <row r="170" ht="15.75" customHeight="1">
      <c r="A170" s="4"/>
      <c r="B170" s="4"/>
      <c r="C170" s="4"/>
      <c r="D170" s="4"/>
      <c r="E170" s="4"/>
      <c r="F170" s="4"/>
      <c r="G170" s="4"/>
      <c r="H170" s="4"/>
      <c r="I170" s="4"/>
      <c r="J170" s="4"/>
      <c r="K170" s="4"/>
      <c r="L170" s="4"/>
      <c r="M170" s="4"/>
      <c r="N170" s="4"/>
    </row>
    <row r="171" ht="15.75" customHeight="1">
      <c r="A171" s="4"/>
      <c r="B171" s="4"/>
      <c r="C171" s="4"/>
      <c r="D171" s="4"/>
      <c r="E171" s="4"/>
      <c r="F171" s="4"/>
      <c r="G171" s="4"/>
      <c r="H171" s="4"/>
      <c r="I171" s="4"/>
      <c r="J171" s="4"/>
      <c r="K171" s="4"/>
      <c r="L171" s="4"/>
      <c r="M171" s="4"/>
      <c r="N171" s="4"/>
    </row>
    <row r="172" ht="15.75" customHeight="1">
      <c r="A172" s="4"/>
      <c r="B172" s="4"/>
      <c r="C172" s="4"/>
      <c r="D172" s="4"/>
      <c r="E172" s="4"/>
      <c r="F172" s="4"/>
      <c r="G172" s="4"/>
      <c r="H172" s="4"/>
      <c r="I172" s="4"/>
      <c r="J172" s="4"/>
      <c r="K172" s="4"/>
      <c r="L172" s="4"/>
      <c r="M172" s="4"/>
      <c r="N172" s="4"/>
    </row>
    <row r="173" ht="15.75" customHeight="1">
      <c r="A173" s="4"/>
      <c r="B173" s="4"/>
      <c r="C173" s="4"/>
      <c r="D173" s="4"/>
      <c r="E173" s="4"/>
      <c r="F173" s="4"/>
      <c r="G173" s="4"/>
      <c r="H173" s="4"/>
      <c r="I173" s="4"/>
      <c r="J173" s="4"/>
      <c r="K173" s="4"/>
      <c r="L173" s="4"/>
      <c r="M173" s="4"/>
      <c r="N173" s="4"/>
    </row>
    <row r="174" ht="15.75" customHeight="1">
      <c r="A174" s="4"/>
      <c r="B174" s="4"/>
      <c r="C174" s="4"/>
      <c r="D174" s="4"/>
      <c r="E174" s="4"/>
      <c r="F174" s="4"/>
      <c r="G174" s="4"/>
      <c r="H174" s="4"/>
      <c r="I174" s="4"/>
      <c r="J174" s="4"/>
      <c r="K174" s="4"/>
      <c r="L174" s="4"/>
      <c r="M174" s="4"/>
      <c r="N174" s="4"/>
    </row>
    <row r="175" ht="15.75" customHeight="1">
      <c r="A175" s="4"/>
      <c r="B175" s="4"/>
      <c r="C175" s="4"/>
      <c r="D175" s="4"/>
      <c r="E175" s="4"/>
      <c r="F175" s="4"/>
      <c r="G175" s="4"/>
      <c r="H175" s="4"/>
      <c r="I175" s="4"/>
      <c r="J175" s="4"/>
      <c r="K175" s="4"/>
      <c r="L175" s="4"/>
      <c r="M175" s="4"/>
      <c r="N175" s="4"/>
    </row>
    <row r="176" ht="15.75" customHeight="1">
      <c r="A176" s="4"/>
      <c r="B176" s="4"/>
      <c r="C176" s="4"/>
      <c r="D176" s="4"/>
      <c r="E176" s="4"/>
      <c r="F176" s="4"/>
      <c r="G176" s="4"/>
      <c r="H176" s="4"/>
      <c r="I176" s="4"/>
      <c r="J176" s="4"/>
      <c r="K176" s="4"/>
      <c r="L176" s="4"/>
      <c r="M176" s="4"/>
      <c r="N176" s="4"/>
    </row>
    <row r="177" ht="15.75" customHeight="1">
      <c r="A177" s="4"/>
      <c r="B177" s="4"/>
      <c r="C177" s="4"/>
      <c r="D177" s="4"/>
      <c r="E177" s="4"/>
      <c r="F177" s="4"/>
      <c r="G177" s="4"/>
      <c r="H177" s="4"/>
      <c r="I177" s="4"/>
      <c r="J177" s="4"/>
      <c r="K177" s="4"/>
      <c r="L177" s="4"/>
      <c r="M177" s="4"/>
      <c r="N177" s="4"/>
    </row>
    <row r="178" ht="15.75" customHeight="1">
      <c r="A178" s="4"/>
      <c r="B178" s="4"/>
      <c r="C178" s="4"/>
      <c r="D178" s="4"/>
      <c r="E178" s="4"/>
      <c r="F178" s="4"/>
      <c r="G178" s="4"/>
      <c r="H178" s="4"/>
      <c r="I178" s="4"/>
      <c r="J178" s="4"/>
      <c r="K178" s="4"/>
      <c r="L178" s="4"/>
      <c r="M178" s="4"/>
      <c r="N178" s="4"/>
    </row>
    <row r="179" ht="15.75" customHeight="1">
      <c r="A179" s="4"/>
      <c r="B179" s="4"/>
      <c r="C179" s="4"/>
      <c r="D179" s="4"/>
      <c r="E179" s="4"/>
      <c r="F179" s="4"/>
      <c r="G179" s="4"/>
      <c r="H179" s="4"/>
      <c r="I179" s="4"/>
      <c r="J179" s="4"/>
      <c r="K179" s="4"/>
      <c r="L179" s="4"/>
      <c r="M179" s="4"/>
      <c r="N179" s="4"/>
    </row>
    <row r="180" ht="15.75" customHeight="1">
      <c r="A180" s="4"/>
      <c r="B180" s="4"/>
      <c r="C180" s="4"/>
      <c r="D180" s="4"/>
      <c r="E180" s="4"/>
      <c r="F180" s="4"/>
      <c r="G180" s="4"/>
      <c r="H180" s="4"/>
      <c r="I180" s="4"/>
      <c r="J180" s="4"/>
      <c r="K180" s="4"/>
      <c r="L180" s="4"/>
      <c r="M180" s="4"/>
      <c r="N180" s="4"/>
    </row>
    <row r="181" ht="15.75" customHeight="1">
      <c r="A181" s="4"/>
      <c r="B181" s="4"/>
      <c r="C181" s="4"/>
      <c r="D181" s="4"/>
      <c r="E181" s="4"/>
      <c r="F181" s="4"/>
      <c r="G181" s="4"/>
      <c r="H181" s="4"/>
      <c r="I181" s="4"/>
      <c r="J181" s="4"/>
      <c r="K181" s="4"/>
      <c r="L181" s="4"/>
      <c r="M181" s="4"/>
      <c r="N181" s="4"/>
    </row>
    <row r="182" ht="15.75" customHeight="1">
      <c r="A182" s="4"/>
      <c r="B182" s="4"/>
      <c r="C182" s="4"/>
      <c r="D182" s="4"/>
      <c r="E182" s="4"/>
      <c r="F182" s="4"/>
      <c r="G182" s="4"/>
      <c r="H182" s="4"/>
      <c r="I182" s="4"/>
      <c r="J182" s="4"/>
      <c r="K182" s="4"/>
      <c r="L182" s="4"/>
      <c r="M182" s="4"/>
      <c r="N182" s="4"/>
    </row>
    <row r="183" ht="15.75" customHeight="1">
      <c r="A183" s="4"/>
      <c r="B183" s="4"/>
      <c r="C183" s="4"/>
      <c r="D183" s="4"/>
      <c r="E183" s="4"/>
      <c r="F183" s="4"/>
      <c r="G183" s="4"/>
      <c r="H183" s="4"/>
      <c r="I183" s="4"/>
      <c r="J183" s="4"/>
      <c r="K183" s="4"/>
      <c r="L183" s="4"/>
      <c r="M183" s="4"/>
      <c r="N183" s="4"/>
    </row>
    <row r="184" ht="15.75" customHeight="1">
      <c r="A184" s="4"/>
      <c r="B184" s="4"/>
      <c r="C184" s="4"/>
      <c r="D184" s="4"/>
      <c r="E184" s="4"/>
      <c r="F184" s="4"/>
      <c r="G184" s="4"/>
      <c r="H184" s="4"/>
      <c r="I184" s="4"/>
      <c r="J184" s="4"/>
      <c r="K184" s="4"/>
      <c r="L184" s="4"/>
      <c r="M184" s="4"/>
      <c r="N184" s="4"/>
    </row>
    <row r="185" ht="15.75" customHeight="1">
      <c r="A185" s="4"/>
      <c r="B185" s="4"/>
      <c r="C185" s="4"/>
      <c r="D185" s="4"/>
      <c r="E185" s="4"/>
      <c r="F185" s="4"/>
      <c r="G185" s="4"/>
      <c r="H185" s="4"/>
      <c r="I185" s="4"/>
      <c r="J185" s="4"/>
      <c r="K185" s="4"/>
      <c r="L185" s="4"/>
      <c r="M185" s="4"/>
      <c r="N185" s="4"/>
    </row>
    <row r="186" ht="15.75" customHeight="1">
      <c r="A186" s="4"/>
      <c r="B186" s="4"/>
      <c r="C186" s="4"/>
      <c r="D186" s="4"/>
      <c r="E186" s="4"/>
      <c r="F186" s="4"/>
      <c r="G186" s="4"/>
      <c r="H186" s="4"/>
      <c r="I186" s="4"/>
      <c r="J186" s="4"/>
      <c r="K186" s="4"/>
      <c r="L186" s="4"/>
      <c r="M186" s="4"/>
      <c r="N186" s="4"/>
    </row>
    <row r="187" ht="15.75" customHeight="1">
      <c r="A187" s="4"/>
      <c r="B187" s="4"/>
      <c r="C187" s="4"/>
      <c r="D187" s="4"/>
      <c r="E187" s="4"/>
      <c r="F187" s="4"/>
      <c r="G187" s="4"/>
      <c r="H187" s="4"/>
      <c r="I187" s="4"/>
      <c r="J187" s="4"/>
      <c r="K187" s="4"/>
      <c r="L187" s="4"/>
      <c r="M187" s="4"/>
      <c r="N187" s="4"/>
    </row>
    <row r="188" ht="15.75" customHeight="1">
      <c r="A188" s="4"/>
      <c r="B188" s="4"/>
      <c r="C188" s="4"/>
      <c r="D188" s="4"/>
      <c r="E188" s="4"/>
      <c r="F188" s="4"/>
      <c r="G188" s="4"/>
      <c r="H188" s="4"/>
      <c r="I188" s="4"/>
      <c r="J188" s="4"/>
      <c r="K188" s="4"/>
      <c r="L188" s="4"/>
      <c r="M188" s="4"/>
      <c r="N188" s="4"/>
    </row>
    <row r="189" ht="15.75" customHeight="1">
      <c r="A189" s="4"/>
      <c r="B189" s="4"/>
      <c r="C189" s="4"/>
      <c r="D189" s="4"/>
      <c r="E189" s="4"/>
      <c r="F189" s="4"/>
      <c r="G189" s="4"/>
      <c r="H189" s="4"/>
      <c r="I189" s="4"/>
      <c r="J189" s="4"/>
      <c r="K189" s="4"/>
      <c r="L189" s="4"/>
      <c r="M189" s="4"/>
      <c r="N189" s="4"/>
    </row>
    <row r="190" ht="15.75" customHeight="1">
      <c r="A190" s="4"/>
      <c r="B190" s="4"/>
      <c r="C190" s="4"/>
      <c r="D190" s="4"/>
      <c r="E190" s="4"/>
      <c r="F190" s="4"/>
      <c r="G190" s="4"/>
      <c r="H190" s="4"/>
      <c r="I190" s="4"/>
      <c r="J190" s="4"/>
      <c r="K190" s="4"/>
      <c r="L190" s="4"/>
      <c r="M190" s="4"/>
      <c r="N190" s="4"/>
    </row>
    <row r="191" ht="15.75" customHeight="1">
      <c r="A191" s="4"/>
      <c r="B191" s="4"/>
      <c r="C191" s="4"/>
      <c r="D191" s="4"/>
      <c r="E191" s="4"/>
      <c r="F191" s="4"/>
      <c r="G191" s="4"/>
      <c r="H191" s="4"/>
      <c r="I191" s="4"/>
      <c r="J191" s="4"/>
      <c r="K191" s="4"/>
      <c r="L191" s="4"/>
      <c r="M191" s="4"/>
      <c r="N191" s="4"/>
    </row>
    <row r="192" ht="15.75" customHeight="1">
      <c r="A192" s="4"/>
      <c r="B192" s="4"/>
      <c r="C192" s="4"/>
      <c r="D192" s="4"/>
      <c r="E192" s="4"/>
      <c r="F192" s="4"/>
      <c r="G192" s="4"/>
      <c r="H192" s="4"/>
      <c r="I192" s="4"/>
      <c r="J192" s="4"/>
      <c r="K192" s="4"/>
      <c r="L192" s="4"/>
      <c r="M192" s="4"/>
      <c r="N192" s="4"/>
    </row>
    <row r="193" ht="15.75" customHeight="1">
      <c r="A193" s="4"/>
      <c r="B193" s="4"/>
      <c r="C193" s="4"/>
      <c r="D193" s="4"/>
      <c r="E193" s="4"/>
      <c r="F193" s="4"/>
      <c r="G193" s="4"/>
      <c r="H193" s="4"/>
      <c r="I193" s="4"/>
      <c r="J193" s="4"/>
      <c r="K193" s="4"/>
      <c r="L193" s="4"/>
      <c r="M193" s="4"/>
      <c r="N193" s="4"/>
    </row>
    <row r="194" ht="15.75" customHeight="1">
      <c r="A194" s="4"/>
      <c r="B194" s="4"/>
      <c r="C194" s="4"/>
      <c r="D194" s="4"/>
      <c r="E194" s="4"/>
      <c r="F194" s="4"/>
      <c r="G194" s="4"/>
      <c r="H194" s="4"/>
      <c r="I194" s="4"/>
      <c r="J194" s="4"/>
      <c r="K194" s="4"/>
      <c r="L194" s="4"/>
      <c r="M194" s="4"/>
      <c r="N194" s="4"/>
    </row>
    <row r="195" ht="15.75" customHeight="1">
      <c r="A195" s="4"/>
      <c r="B195" s="4"/>
      <c r="C195" s="4"/>
      <c r="D195" s="4"/>
      <c r="E195" s="4"/>
      <c r="F195" s="4"/>
      <c r="G195" s="4"/>
      <c r="H195" s="4"/>
      <c r="I195" s="4"/>
      <c r="J195" s="4"/>
      <c r="K195" s="4"/>
      <c r="L195" s="4"/>
      <c r="M195" s="4"/>
      <c r="N195" s="4"/>
    </row>
    <row r="196" ht="15.75" customHeight="1">
      <c r="A196" s="4"/>
      <c r="B196" s="4"/>
      <c r="C196" s="4"/>
      <c r="D196" s="4"/>
      <c r="E196" s="4"/>
      <c r="F196" s="4"/>
      <c r="G196" s="4"/>
      <c r="H196" s="4"/>
      <c r="I196" s="4"/>
      <c r="J196" s="4"/>
      <c r="K196" s="4"/>
      <c r="L196" s="4"/>
      <c r="M196" s="4"/>
      <c r="N196" s="4"/>
    </row>
    <row r="197" ht="15.75" customHeight="1">
      <c r="A197" s="4"/>
      <c r="B197" s="4"/>
      <c r="C197" s="4"/>
      <c r="D197" s="4"/>
      <c r="E197" s="4"/>
      <c r="F197" s="4"/>
      <c r="G197" s="4"/>
      <c r="H197" s="4"/>
      <c r="I197" s="4"/>
      <c r="J197" s="4"/>
      <c r="K197" s="4"/>
      <c r="L197" s="4"/>
      <c r="M197" s="4"/>
      <c r="N197" s="4"/>
    </row>
    <row r="198" ht="15.75" customHeight="1">
      <c r="A198" s="4"/>
      <c r="B198" s="4"/>
      <c r="C198" s="4"/>
      <c r="D198" s="4"/>
      <c r="E198" s="4"/>
      <c r="F198" s="4"/>
      <c r="G198" s="4"/>
      <c r="H198" s="4"/>
      <c r="I198" s="4"/>
      <c r="J198" s="4"/>
      <c r="K198" s="4"/>
      <c r="L198" s="4"/>
      <c r="M198" s="4"/>
      <c r="N198" s="4"/>
    </row>
    <row r="199" ht="15.75" customHeight="1">
      <c r="A199" s="4"/>
      <c r="B199" s="4"/>
      <c r="C199" s="4"/>
      <c r="D199" s="4"/>
      <c r="E199" s="4"/>
      <c r="F199" s="4"/>
      <c r="G199" s="4"/>
      <c r="H199" s="4"/>
      <c r="I199" s="4"/>
      <c r="J199" s="4"/>
      <c r="K199" s="4"/>
      <c r="L199" s="4"/>
      <c r="M199" s="4"/>
      <c r="N199" s="4"/>
    </row>
    <row r="200" ht="15.75" customHeight="1">
      <c r="A200" s="4"/>
      <c r="B200" s="4"/>
      <c r="C200" s="4"/>
      <c r="D200" s="4"/>
      <c r="E200" s="4"/>
      <c r="F200" s="4"/>
      <c r="G200" s="4"/>
      <c r="H200" s="4"/>
      <c r="I200" s="4"/>
      <c r="J200" s="4"/>
      <c r="K200" s="4"/>
      <c r="L200" s="4"/>
      <c r="M200" s="4"/>
      <c r="N200" s="4"/>
    </row>
    <row r="201" ht="15.75" customHeight="1">
      <c r="A201" s="4"/>
      <c r="B201" s="4"/>
      <c r="C201" s="4"/>
      <c r="D201" s="4"/>
      <c r="E201" s="4"/>
      <c r="F201" s="4"/>
      <c r="G201" s="4"/>
      <c r="H201" s="4"/>
      <c r="I201" s="4"/>
      <c r="J201" s="4"/>
      <c r="K201" s="4"/>
      <c r="L201" s="4"/>
      <c r="M201" s="4"/>
      <c r="N201" s="4"/>
    </row>
    <row r="202" ht="15.75" customHeight="1">
      <c r="A202" s="4"/>
      <c r="B202" s="4"/>
      <c r="C202" s="4"/>
      <c r="D202" s="4"/>
      <c r="E202" s="4"/>
      <c r="F202" s="4"/>
      <c r="G202" s="4"/>
      <c r="H202" s="4"/>
      <c r="I202" s="4"/>
      <c r="J202" s="4"/>
      <c r="K202" s="4"/>
      <c r="L202" s="4"/>
      <c r="M202" s="4"/>
      <c r="N202" s="4"/>
    </row>
    <row r="203" ht="15.75" customHeight="1">
      <c r="A203" s="4"/>
      <c r="B203" s="4"/>
      <c r="C203" s="4"/>
      <c r="D203" s="4"/>
      <c r="E203" s="4"/>
      <c r="F203" s="4"/>
      <c r="G203" s="4"/>
      <c r="H203" s="4"/>
      <c r="I203" s="4"/>
      <c r="J203" s="4"/>
      <c r="K203" s="4"/>
      <c r="L203" s="4"/>
      <c r="M203" s="4"/>
      <c r="N203" s="4"/>
    </row>
    <row r="204" ht="15.75" customHeight="1">
      <c r="A204" s="4"/>
      <c r="B204" s="4"/>
      <c r="C204" s="4"/>
      <c r="D204" s="4"/>
      <c r="E204" s="4"/>
      <c r="F204" s="4"/>
      <c r="G204" s="4"/>
      <c r="H204" s="4"/>
      <c r="I204" s="4"/>
      <c r="J204" s="4"/>
      <c r="K204" s="4"/>
      <c r="L204" s="4"/>
      <c r="M204" s="4"/>
      <c r="N204" s="4"/>
    </row>
    <row r="205" ht="15.75" customHeight="1">
      <c r="A205" s="4"/>
      <c r="B205" s="4"/>
      <c r="C205" s="4"/>
      <c r="D205" s="4"/>
      <c r="E205" s="4"/>
      <c r="F205" s="4"/>
      <c r="G205" s="4"/>
      <c r="H205" s="4"/>
      <c r="I205" s="4"/>
      <c r="J205" s="4"/>
      <c r="K205" s="4"/>
      <c r="L205" s="4"/>
      <c r="M205" s="4"/>
      <c r="N205" s="4"/>
    </row>
    <row r="206" ht="15.75" customHeight="1">
      <c r="A206" s="4"/>
      <c r="B206" s="4"/>
      <c r="C206" s="4"/>
      <c r="D206" s="4"/>
      <c r="E206" s="4"/>
      <c r="F206" s="4"/>
      <c r="G206" s="4"/>
      <c r="H206" s="4"/>
      <c r="I206" s="4"/>
      <c r="J206" s="4"/>
      <c r="K206" s="4"/>
      <c r="L206" s="4"/>
      <c r="M206" s="4"/>
      <c r="N206" s="4"/>
    </row>
    <row r="207" ht="15.75" customHeight="1">
      <c r="A207" s="4"/>
      <c r="B207" s="4"/>
      <c r="C207" s="4"/>
      <c r="D207" s="4"/>
      <c r="E207" s="4"/>
      <c r="F207" s="4"/>
      <c r="G207" s="4"/>
      <c r="H207" s="4"/>
      <c r="I207" s="4"/>
      <c r="J207" s="4"/>
      <c r="K207" s="4"/>
      <c r="L207" s="4"/>
      <c r="M207" s="4"/>
      <c r="N207" s="4"/>
    </row>
    <row r="208" ht="15.75" customHeight="1">
      <c r="A208" s="4"/>
      <c r="B208" s="4"/>
      <c r="C208" s="4"/>
      <c r="D208" s="4"/>
      <c r="E208" s="4"/>
      <c r="F208" s="4"/>
      <c r="G208" s="4"/>
      <c r="H208" s="4"/>
      <c r="I208" s="4"/>
      <c r="J208" s="4"/>
      <c r="K208" s="4"/>
      <c r="L208" s="4"/>
      <c r="M208" s="4"/>
      <c r="N208" s="4"/>
    </row>
    <row r="209" ht="15.75" customHeight="1">
      <c r="A209" s="4"/>
      <c r="B209" s="4"/>
      <c r="C209" s="4"/>
      <c r="D209" s="4"/>
      <c r="E209" s="4"/>
      <c r="F209" s="4"/>
      <c r="G209" s="4"/>
      <c r="H209" s="4"/>
      <c r="I209" s="4"/>
      <c r="J209" s="4"/>
      <c r="K209" s="4"/>
      <c r="L209" s="4"/>
      <c r="M209" s="4"/>
      <c r="N209" s="4"/>
    </row>
    <row r="210" ht="15.75" customHeight="1">
      <c r="A210" s="4"/>
      <c r="B210" s="4"/>
      <c r="C210" s="4"/>
      <c r="D210" s="4"/>
      <c r="E210" s="4"/>
      <c r="F210" s="4"/>
      <c r="G210" s="4"/>
      <c r="H210" s="4"/>
      <c r="I210" s="4"/>
      <c r="J210" s="4"/>
      <c r="K210" s="4"/>
      <c r="L210" s="4"/>
      <c r="M210" s="4"/>
      <c r="N210" s="4"/>
    </row>
    <row r="211" ht="15.75" customHeight="1">
      <c r="A211" s="4"/>
      <c r="B211" s="4"/>
      <c r="C211" s="4"/>
      <c r="D211" s="4"/>
      <c r="E211" s="4"/>
      <c r="F211" s="4"/>
      <c r="G211" s="4"/>
      <c r="H211" s="4"/>
      <c r="I211" s="4"/>
      <c r="J211" s="4"/>
      <c r="K211" s="4"/>
      <c r="L211" s="4"/>
      <c r="M211" s="4"/>
      <c r="N211" s="4"/>
    </row>
    <row r="212" ht="15.75" customHeight="1">
      <c r="A212" s="4"/>
      <c r="B212" s="4"/>
      <c r="C212" s="4"/>
      <c r="D212" s="4"/>
      <c r="E212" s="4"/>
      <c r="F212" s="4"/>
      <c r="G212" s="4"/>
      <c r="H212" s="4"/>
      <c r="I212" s="4"/>
      <c r="J212" s="4"/>
      <c r="K212" s="4"/>
      <c r="L212" s="4"/>
      <c r="M212" s="4"/>
      <c r="N212" s="4"/>
    </row>
    <row r="213" ht="15.75" customHeight="1">
      <c r="A213" s="4"/>
      <c r="B213" s="4"/>
      <c r="C213" s="4"/>
      <c r="D213" s="4"/>
      <c r="E213" s="4"/>
      <c r="F213" s="4"/>
      <c r="G213" s="4"/>
      <c r="H213" s="4"/>
      <c r="I213" s="4"/>
      <c r="J213" s="4"/>
      <c r="K213" s="4"/>
      <c r="L213" s="4"/>
      <c r="M213" s="4"/>
      <c r="N213" s="4"/>
    </row>
    <row r="214" ht="15.75" customHeight="1">
      <c r="A214" s="4"/>
      <c r="B214" s="4"/>
      <c r="C214" s="4"/>
      <c r="D214" s="4"/>
      <c r="E214" s="4"/>
      <c r="F214" s="4"/>
      <c r="G214" s="4"/>
      <c r="H214" s="4"/>
      <c r="I214" s="4"/>
      <c r="J214" s="4"/>
      <c r="K214" s="4"/>
      <c r="L214" s="4"/>
      <c r="M214" s="4"/>
      <c r="N214" s="4"/>
    </row>
    <row r="215" ht="15.75" customHeight="1">
      <c r="A215" s="4"/>
      <c r="B215" s="4"/>
      <c r="C215" s="4"/>
      <c r="D215" s="4"/>
      <c r="E215" s="4"/>
      <c r="F215" s="4"/>
      <c r="G215" s="4"/>
      <c r="H215" s="4"/>
      <c r="I215" s="4"/>
      <c r="J215" s="4"/>
      <c r="K215" s="4"/>
      <c r="L215" s="4"/>
      <c r="M215" s="4"/>
      <c r="N215" s="4"/>
    </row>
    <row r="216" ht="15.75" customHeight="1">
      <c r="A216" s="4"/>
      <c r="B216" s="4"/>
      <c r="C216" s="4"/>
      <c r="D216" s="4"/>
      <c r="E216" s="4"/>
      <c r="F216" s="4"/>
      <c r="G216" s="4"/>
      <c r="H216" s="4"/>
      <c r="I216" s="4"/>
      <c r="J216" s="4"/>
      <c r="K216" s="4"/>
      <c r="L216" s="4"/>
      <c r="M216" s="4"/>
      <c r="N216" s="4"/>
    </row>
    <row r="217" ht="15.75" customHeight="1">
      <c r="A217" s="4"/>
      <c r="B217" s="4"/>
      <c r="C217" s="4"/>
      <c r="D217" s="4"/>
      <c r="E217" s="4"/>
      <c r="F217" s="4"/>
      <c r="G217" s="4"/>
      <c r="H217" s="4"/>
      <c r="I217" s="4"/>
      <c r="J217" s="4"/>
      <c r="K217" s="4"/>
      <c r="L217" s="4"/>
      <c r="M217" s="4"/>
      <c r="N217" s="4"/>
    </row>
    <row r="218" ht="15.75" customHeight="1">
      <c r="A218" s="4"/>
      <c r="B218" s="4"/>
      <c r="C218" s="4"/>
      <c r="D218" s="4"/>
      <c r="E218" s="4"/>
      <c r="F218" s="4"/>
      <c r="G218" s="4"/>
      <c r="H218" s="4"/>
      <c r="I218" s="4"/>
      <c r="J218" s="4"/>
      <c r="K218" s="4"/>
      <c r="L218" s="4"/>
      <c r="M218" s="4"/>
      <c r="N218" s="4"/>
    </row>
    <row r="219" ht="15.75" customHeight="1">
      <c r="A219" s="4"/>
      <c r="B219" s="4"/>
      <c r="C219" s="4"/>
      <c r="D219" s="4"/>
      <c r="E219" s="4"/>
      <c r="F219" s="4"/>
      <c r="G219" s="4"/>
      <c r="H219" s="4"/>
      <c r="I219" s="4"/>
      <c r="J219" s="4"/>
      <c r="K219" s="4"/>
      <c r="L219" s="4"/>
      <c r="M219" s="4"/>
      <c r="N219" s="4"/>
    </row>
    <row r="220" ht="15.75" customHeight="1">
      <c r="A220" s="4"/>
      <c r="B220" s="4"/>
      <c r="C220" s="4"/>
      <c r="D220" s="4"/>
      <c r="E220" s="4"/>
      <c r="F220" s="4"/>
      <c r="G220" s="4"/>
      <c r="H220" s="4"/>
      <c r="I220" s="4"/>
      <c r="J220" s="4"/>
      <c r="K220" s="4"/>
      <c r="L220" s="4"/>
      <c r="M220" s="4"/>
      <c r="N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621</v>
      </c>
      <c r="B1" s="2"/>
      <c r="C1" s="2"/>
      <c r="D1" s="2"/>
      <c r="E1" s="2"/>
      <c r="F1" s="2"/>
      <c r="G1" s="2"/>
      <c r="H1" s="2"/>
      <c r="I1" s="2"/>
      <c r="J1" s="2"/>
      <c r="K1" s="2"/>
      <c r="L1" s="2"/>
      <c r="M1" s="2"/>
      <c r="N1" s="2"/>
      <c r="O1" s="2"/>
      <c r="P1" s="2"/>
      <c r="Q1" s="2"/>
      <c r="R1" s="2"/>
    </row>
    <row r="2">
      <c r="A2" s="3" t="s">
        <v>56</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622</v>
      </c>
      <c r="B5" s="2"/>
      <c r="C5" s="4"/>
      <c r="D5" s="4"/>
      <c r="E5" s="25" t="s">
        <v>623</v>
      </c>
      <c r="F5" s="2"/>
      <c r="G5" s="4"/>
      <c r="H5" s="4"/>
      <c r="I5" s="25" t="s">
        <v>624</v>
      </c>
      <c r="J5" s="2"/>
      <c r="K5" s="4"/>
      <c r="L5" s="4"/>
      <c r="M5" s="25" t="s">
        <v>64</v>
      </c>
      <c r="N5" s="2"/>
      <c r="O5" s="4"/>
      <c r="P5" s="4"/>
      <c r="Q5" s="26"/>
    </row>
    <row r="6" ht="16.5" customHeight="1">
      <c r="A6" s="27" t="s">
        <v>625</v>
      </c>
      <c r="B6" s="28"/>
      <c r="C6" s="4"/>
      <c r="D6" s="4"/>
      <c r="E6" s="4"/>
      <c r="F6" s="4"/>
      <c r="G6" s="4"/>
      <c r="H6" s="4"/>
      <c r="I6" s="4"/>
      <c r="J6" s="4"/>
      <c r="K6" s="4"/>
      <c r="L6" s="4"/>
      <c r="M6" s="4"/>
      <c r="N6" s="4"/>
      <c r="O6" s="4"/>
      <c r="P6" s="4"/>
      <c r="Q6" s="4"/>
      <c r="R6" s="4"/>
    </row>
    <row r="7" ht="16.5" customHeight="1">
      <c r="A7" s="29" t="s">
        <v>66</v>
      </c>
      <c r="B7" s="30" t="s">
        <v>627</v>
      </c>
      <c r="C7" s="31"/>
      <c r="D7" s="4"/>
      <c r="E7" s="4"/>
      <c r="F7" s="4"/>
      <c r="G7" s="4"/>
      <c r="H7" s="4"/>
      <c r="I7" s="4"/>
      <c r="J7" s="4"/>
      <c r="K7" s="4"/>
      <c r="L7" s="4"/>
      <c r="M7" s="4"/>
      <c r="N7" s="4"/>
      <c r="O7" s="4"/>
      <c r="P7" s="4"/>
      <c r="Q7" s="4"/>
      <c r="R7" s="4"/>
    </row>
    <row r="8" ht="16.5" customHeight="1">
      <c r="A8" s="32" t="s">
        <v>71</v>
      </c>
      <c r="B8" s="33" t="s">
        <v>628</v>
      </c>
      <c r="C8" s="34"/>
      <c r="D8" s="4"/>
      <c r="E8" s="27" t="s">
        <v>629</v>
      </c>
      <c r="F8" s="28"/>
      <c r="G8" s="4"/>
      <c r="H8" s="4"/>
      <c r="I8" s="4"/>
      <c r="J8" s="4"/>
      <c r="K8" s="4"/>
      <c r="L8" s="4"/>
      <c r="M8" s="4"/>
      <c r="N8" s="4"/>
      <c r="O8" s="4"/>
      <c r="P8" s="4"/>
      <c r="Q8" s="4"/>
      <c r="R8" s="4"/>
    </row>
    <row r="9" ht="16.5" customHeight="1">
      <c r="A9" s="4"/>
      <c r="B9" s="4"/>
      <c r="C9" s="34"/>
      <c r="D9" s="4"/>
      <c r="E9" s="35" t="s">
        <v>71</v>
      </c>
      <c r="F9" s="30" t="s">
        <v>630</v>
      </c>
      <c r="G9" s="31"/>
      <c r="H9" s="4"/>
      <c r="I9" s="4"/>
      <c r="J9" s="4"/>
      <c r="K9" s="4"/>
      <c r="L9" s="4"/>
      <c r="M9" s="4"/>
      <c r="N9" s="4"/>
      <c r="O9" s="4"/>
      <c r="P9" s="4"/>
      <c r="Q9" s="4"/>
      <c r="R9" s="4"/>
    </row>
    <row r="10" ht="16.5" customHeight="1">
      <c r="A10" s="4"/>
      <c r="B10" s="4"/>
      <c r="C10" s="4"/>
      <c r="D10" s="36"/>
      <c r="E10" s="32" t="str">
        <f>IF(F10="","W TMD-R1-01",IF(F10=B7,A7&amp;"",IF(F10=B8,A8&amp;"","W TMD-R1-01")))</f>
        <v>Team 2</v>
      </c>
      <c r="F10" s="37" t="s">
        <v>628</v>
      </c>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668</v>
      </c>
      <c r="J12" s="28"/>
      <c r="K12" s="4"/>
      <c r="L12" s="4"/>
      <c r="M12" s="4"/>
      <c r="N12" s="4"/>
      <c r="O12" s="4"/>
      <c r="P12" s="4"/>
      <c r="Q12" s="4"/>
      <c r="R12" s="4"/>
    </row>
    <row r="13" ht="16.5" customHeight="1">
      <c r="A13" s="4"/>
      <c r="B13" s="4"/>
      <c r="C13" s="4"/>
      <c r="D13" s="4"/>
      <c r="E13" s="4"/>
      <c r="F13" s="4"/>
      <c r="G13" s="4"/>
      <c r="H13" s="36"/>
      <c r="I13" s="29" t="str">
        <f>IF(J13="","W TMD-R2-01",IF(J13=F9,E9&amp;"",IF(J13=F10,E10&amp;"","W TMD-R2-01")))</f>
        <v>Team 2</v>
      </c>
      <c r="J13" s="38" t="s">
        <v>630</v>
      </c>
      <c r="K13" s="31"/>
      <c r="L13" s="4"/>
      <c r="M13" s="4"/>
      <c r="N13" s="4"/>
      <c r="O13" s="4"/>
      <c r="P13" s="4"/>
      <c r="Q13" s="4"/>
      <c r="R13" s="4"/>
    </row>
    <row r="14" ht="16.5" customHeight="1">
      <c r="A14" s="27" t="s">
        <v>669</v>
      </c>
      <c r="B14" s="28"/>
      <c r="C14" s="4"/>
      <c r="D14" s="4"/>
      <c r="E14" s="4"/>
      <c r="F14" s="4"/>
      <c r="G14" s="34"/>
      <c r="H14" s="36"/>
      <c r="I14" s="32" t="str">
        <f>IF(J14="","W TMD-R2-02",IF(J14=F17,E17&amp;"",IF(J14=F18,E18&amp;"","W TMD-R2-02")))</f>
        <v>Team 1</v>
      </c>
      <c r="J14" s="37" t="s">
        <v>670</v>
      </c>
      <c r="K14" s="34"/>
      <c r="L14" s="4"/>
      <c r="M14" s="4"/>
      <c r="N14" s="4"/>
      <c r="O14" s="4"/>
      <c r="P14" s="4"/>
      <c r="Q14" s="4"/>
      <c r="R14" s="4"/>
    </row>
    <row r="15" ht="16.5" customHeight="1">
      <c r="A15" s="29" t="s">
        <v>77</v>
      </c>
      <c r="B15" s="30" t="s">
        <v>671</v>
      </c>
      <c r="C15" s="31"/>
      <c r="D15" s="4"/>
      <c r="E15" s="4"/>
      <c r="F15" s="4"/>
      <c r="G15" s="34"/>
      <c r="H15" s="4"/>
      <c r="I15" s="4"/>
      <c r="J15" s="4"/>
      <c r="K15" s="34"/>
      <c r="L15" s="4"/>
      <c r="M15" s="4"/>
      <c r="N15" s="4"/>
      <c r="O15" s="4"/>
      <c r="P15" s="4"/>
      <c r="Q15" s="4"/>
      <c r="R15" s="4"/>
    </row>
    <row r="16" ht="16.5" customHeight="1">
      <c r="A16" s="32" t="s">
        <v>68</v>
      </c>
      <c r="B16" s="33" t="s">
        <v>670</v>
      </c>
      <c r="C16" s="34"/>
      <c r="D16" s="4"/>
      <c r="E16" s="27" t="s">
        <v>672</v>
      </c>
      <c r="F16" s="28"/>
      <c r="G16" s="34"/>
      <c r="H16" s="4"/>
      <c r="I16" s="4"/>
      <c r="J16" s="4"/>
      <c r="K16" s="34"/>
      <c r="L16" s="4"/>
      <c r="M16" s="4"/>
      <c r="N16" s="4"/>
      <c r="O16" s="4"/>
      <c r="P16" s="4"/>
      <c r="Q16" s="4"/>
      <c r="R16" s="4"/>
    </row>
    <row r="17" ht="16.5" customHeight="1">
      <c r="A17" s="4"/>
      <c r="B17" s="4"/>
      <c r="C17" s="4"/>
      <c r="D17" s="36"/>
      <c r="E17" s="29" t="str">
        <f>IF(F17="","W TMD-R1-02",IF(F17=B15,A15&amp;"",IF(F17=B16,A16&amp;"","W TMD-R1-02")))</f>
        <v>Team 1</v>
      </c>
      <c r="F17" s="38" t="s">
        <v>670</v>
      </c>
      <c r="G17" s="39"/>
      <c r="H17" s="4"/>
      <c r="I17" s="4"/>
      <c r="J17" s="4"/>
      <c r="K17" s="34"/>
      <c r="L17" s="4"/>
      <c r="M17" s="4"/>
      <c r="N17" s="4"/>
      <c r="O17" s="4"/>
      <c r="P17" s="4"/>
      <c r="Q17" s="4"/>
      <c r="R17" s="4"/>
    </row>
    <row r="18" ht="16.5" customHeight="1">
      <c r="A18" s="27" t="s">
        <v>673</v>
      </c>
      <c r="B18" s="28"/>
      <c r="C18" s="34"/>
      <c r="D18" s="36"/>
      <c r="E18" s="32" t="str">
        <f>IF(F18="","W TMD-R1-03",IF(F18=B19,A19&amp;"",IF(F18=B20,A20&amp;"","W TMD-R1-03")))</f>
        <v>Team 4</v>
      </c>
      <c r="F18" s="37" t="s">
        <v>677</v>
      </c>
      <c r="G18" s="4"/>
      <c r="H18" s="4"/>
      <c r="I18" s="4"/>
      <c r="J18" s="4"/>
      <c r="K18" s="34"/>
      <c r="L18" s="4"/>
      <c r="M18" s="4"/>
      <c r="N18" s="4"/>
      <c r="O18" s="4"/>
      <c r="P18" s="4"/>
      <c r="Q18" s="4"/>
      <c r="R18" s="4"/>
    </row>
    <row r="19" ht="16.5" customHeight="1">
      <c r="A19" s="29" t="s">
        <v>82</v>
      </c>
      <c r="B19" s="30" t="s">
        <v>677</v>
      </c>
      <c r="C19" s="39"/>
      <c r="D19" s="4"/>
      <c r="E19" s="4"/>
      <c r="F19" s="4"/>
      <c r="G19" s="4"/>
      <c r="H19" s="4"/>
      <c r="I19" s="4"/>
      <c r="J19" s="4"/>
      <c r="K19" s="34"/>
      <c r="L19" s="4"/>
      <c r="M19" s="4"/>
      <c r="N19" s="4"/>
      <c r="O19" s="4"/>
      <c r="P19" s="4"/>
      <c r="Q19" s="4"/>
      <c r="R19" s="4"/>
    </row>
    <row r="20" ht="16.5" customHeight="1">
      <c r="A20" s="32" t="s">
        <v>86</v>
      </c>
      <c r="B20" s="33" t="s">
        <v>678</v>
      </c>
      <c r="C20" s="4"/>
      <c r="D20" s="4"/>
      <c r="E20" s="4"/>
      <c r="F20" s="4"/>
      <c r="G20" s="4"/>
      <c r="H20" s="4"/>
      <c r="I20" s="4"/>
      <c r="J20" s="4"/>
      <c r="K20" s="34"/>
      <c r="L20" s="4"/>
      <c r="M20" s="27" t="s">
        <v>679</v>
      </c>
      <c r="N20" s="28"/>
      <c r="O20" s="4"/>
      <c r="P20" s="4"/>
      <c r="Q20" s="46" t="s">
        <v>113</v>
      </c>
      <c r="R20" s="17"/>
    </row>
    <row r="21" ht="16.5" customHeight="1">
      <c r="A21" s="4"/>
      <c r="B21" s="4"/>
      <c r="C21" s="4"/>
      <c r="D21" s="4"/>
      <c r="E21" s="4"/>
      <c r="F21" s="4"/>
      <c r="G21" s="4"/>
      <c r="H21" s="4"/>
      <c r="I21" s="4"/>
      <c r="J21" s="4"/>
      <c r="K21" s="4"/>
      <c r="L21" s="36"/>
      <c r="M21" s="29" t="str">
        <f>IF(N21="","W TMD-R3-01",IF(N21=J13,I13&amp;"",IF(N21=J14,I14&amp;"","W TMD-R3-01")))</f>
        <v>Team 1</v>
      </c>
      <c r="N21" s="38" t="s">
        <v>670</v>
      </c>
      <c r="O21" s="31"/>
      <c r="P21" s="31"/>
      <c r="Q21" s="48" t="str">
        <f>IF(R21="","W TMD-R4-01",IF(R21=N21,M21&amp;"",IF(R21=N22,M22&amp;"","W TMD-R4-01")))</f>
        <v>W TMD-R4-01</v>
      </c>
      <c r="R21" s="49"/>
    </row>
    <row r="22" ht="16.5" customHeight="1">
      <c r="A22" s="27" t="s">
        <v>680</v>
      </c>
      <c r="B22" s="28"/>
      <c r="C22" s="4"/>
      <c r="D22" s="4"/>
      <c r="E22" s="4"/>
      <c r="F22" s="4"/>
      <c r="G22" s="4"/>
      <c r="H22" s="4"/>
      <c r="I22" s="4"/>
      <c r="J22" s="4"/>
      <c r="K22" s="34"/>
      <c r="L22" s="36"/>
      <c r="M22" s="32" t="str">
        <f>IF(N22="","W TMD-R3-02",IF(N22=J29,I29&amp;"",IF(N22=J30,I30&amp;"","W TMD-R3-02")))</f>
        <v>Team 3</v>
      </c>
      <c r="N22" s="37" t="s">
        <v>681</v>
      </c>
      <c r="O22" s="4"/>
      <c r="P22" s="4"/>
      <c r="Q22" s="50" t="s">
        <v>116</v>
      </c>
      <c r="R22" s="17"/>
    </row>
    <row r="23" ht="16.5" customHeight="1">
      <c r="A23" s="29" t="s">
        <v>77</v>
      </c>
      <c r="B23" s="30" t="s">
        <v>681</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68</v>
      </c>
      <c r="B24" s="33" t="s">
        <v>682</v>
      </c>
      <c r="C24" s="34"/>
      <c r="D24" s="4"/>
      <c r="E24" s="27" t="s">
        <v>683</v>
      </c>
      <c r="F24" s="28"/>
      <c r="G24" s="4"/>
      <c r="H24" s="4"/>
      <c r="I24" s="4"/>
      <c r="J24" s="4"/>
      <c r="K24" s="34"/>
      <c r="L24" s="4"/>
      <c r="M24" s="4"/>
      <c r="N24" s="4"/>
      <c r="O24" s="4"/>
      <c r="P24" s="4"/>
      <c r="Q24" s="4"/>
      <c r="R24" s="4"/>
    </row>
    <row r="25" ht="16.5" customHeight="1">
      <c r="A25" s="4"/>
      <c r="B25" s="4"/>
      <c r="C25" s="34"/>
      <c r="D25" s="4"/>
      <c r="E25" s="35" t="s">
        <v>68</v>
      </c>
      <c r="F25" s="30" t="s">
        <v>684</v>
      </c>
      <c r="G25" s="31"/>
      <c r="H25" s="4"/>
      <c r="I25" s="4"/>
      <c r="J25" s="4"/>
      <c r="K25" s="34"/>
      <c r="L25" s="4"/>
      <c r="M25" s="57" t="s">
        <v>685</v>
      </c>
      <c r="N25" s="28"/>
      <c r="O25" s="4"/>
      <c r="P25" s="4"/>
      <c r="Q25" s="59" t="s">
        <v>121</v>
      </c>
      <c r="R25" s="17"/>
    </row>
    <row r="26" ht="16.5" customHeight="1">
      <c r="A26" s="4"/>
      <c r="B26" s="4"/>
      <c r="C26" s="4"/>
      <c r="D26" s="36"/>
      <c r="E26" s="32" t="str">
        <f>IF(F26="","W TMD-R1-04",IF(F26=B23,A23&amp;"",IF(F26=B24,A24&amp;"","W TMD-R1-04")))</f>
        <v>Team 3</v>
      </c>
      <c r="F26" s="37" t="s">
        <v>681</v>
      </c>
      <c r="G26" s="34"/>
      <c r="H26" s="4"/>
      <c r="I26" s="4"/>
      <c r="J26" s="4"/>
      <c r="K26" s="34"/>
      <c r="L26" s="4"/>
      <c r="M26" s="29" t="str">
        <f>IF(N21="","L TMD-R3-01",IF(N21=J13,I14&amp;"",IF(N21=J14,I13&amp;"","L TMD-R3-01")))</f>
        <v>Team 2</v>
      </c>
      <c r="N26" s="21" t="str">
        <f>IF(N21="","",IF(N21=J13,J14&amp;"",IF(N21=J14,J13&amp;"","")))</f>
        <v>Thomas &amp; Ray</v>
      </c>
      <c r="O26" s="31"/>
      <c r="P26" s="31"/>
      <c r="Q26" s="60" t="str">
        <f>IF(R26="","W TMD-3P-01",IF(R26=N26,M26&amp;"",IF(R26=N27,M27&amp;"","W TMD-3P-01")))</f>
        <v>Team 2</v>
      </c>
      <c r="R26" s="61" t="s">
        <v>630</v>
      </c>
    </row>
    <row r="27" ht="16.5" customHeight="1">
      <c r="A27" s="4"/>
      <c r="B27" s="4"/>
      <c r="C27" s="4"/>
      <c r="D27" s="4"/>
      <c r="E27" s="4"/>
      <c r="F27" s="4"/>
      <c r="G27" s="34"/>
      <c r="H27" s="4"/>
      <c r="I27" s="4"/>
      <c r="J27" s="4"/>
      <c r="K27" s="34"/>
      <c r="L27" s="4"/>
      <c r="M27" s="32" t="str">
        <f>IF(N22="","L TMD-R3-02",IF(N22=J29,I30&amp;"",IF(N22=J30,I29&amp;"","L TMD-R3-02")))</f>
        <v>Team 3</v>
      </c>
      <c r="N27" s="62" t="str">
        <f>IF(N22="","",IF(N22=J29,J30&amp;"",IF(N22=J30,J29&amp;"","")))</f>
        <v>Rithik P Vijay &amp; Prathyush</v>
      </c>
      <c r="O27" s="4"/>
      <c r="P27" s="4"/>
      <c r="Q27" s="4"/>
      <c r="R27" s="4"/>
    </row>
    <row r="28" ht="16.5" customHeight="1">
      <c r="A28" s="4"/>
      <c r="B28" s="4"/>
      <c r="C28" s="4"/>
      <c r="D28" s="4"/>
      <c r="E28" s="4"/>
      <c r="F28" s="4"/>
      <c r="G28" s="34"/>
      <c r="H28" s="4"/>
      <c r="I28" s="27" t="s">
        <v>690</v>
      </c>
      <c r="J28" s="28"/>
      <c r="K28" s="34"/>
      <c r="L28" s="4"/>
      <c r="M28" s="4"/>
      <c r="N28" s="4"/>
      <c r="O28" s="4"/>
      <c r="P28" s="4"/>
      <c r="Q28" s="4"/>
      <c r="R28" s="4"/>
    </row>
    <row r="29" ht="16.5" customHeight="1">
      <c r="A29" s="4"/>
      <c r="B29" s="4"/>
      <c r="C29" s="4"/>
      <c r="D29" s="4"/>
      <c r="E29" s="4"/>
      <c r="F29" s="4"/>
      <c r="G29" s="4"/>
      <c r="H29" s="36"/>
      <c r="I29" s="29" t="str">
        <f>IF(J29="","W TMD-R2-03",IF(J29=F25,E25&amp;"",IF(J29=F26,E26&amp;"","W TMD-R2-03")))</f>
        <v>Team 3</v>
      </c>
      <c r="J29" s="38" t="s">
        <v>681</v>
      </c>
      <c r="K29" s="39"/>
      <c r="L29" s="4"/>
      <c r="M29" s="4"/>
      <c r="N29" s="4"/>
      <c r="O29" s="4"/>
      <c r="P29" s="4"/>
      <c r="Q29" s="4"/>
      <c r="R29" s="4"/>
    </row>
    <row r="30" ht="16.5" customHeight="1">
      <c r="A30" s="27" t="s">
        <v>691</v>
      </c>
      <c r="B30" s="28"/>
      <c r="C30" s="4"/>
      <c r="D30" s="4"/>
      <c r="E30" s="4"/>
      <c r="F30" s="4"/>
      <c r="G30" s="34"/>
      <c r="H30" s="36"/>
      <c r="I30" s="32" t="str">
        <f>IF(J30="","W TMD-R2-04",IF(J30=F33,E33&amp;"",IF(J30=F34,E34&amp;"","W TMD-R2-04")))</f>
        <v>Team 3</v>
      </c>
      <c r="J30" s="37" t="s">
        <v>693</v>
      </c>
      <c r="K30" s="4"/>
      <c r="L30" s="4"/>
      <c r="M30" s="4"/>
      <c r="N30" s="4"/>
      <c r="O30" s="4"/>
      <c r="P30" s="4"/>
      <c r="Q30" s="4"/>
      <c r="R30" s="4"/>
    </row>
    <row r="31" ht="16.5" customHeight="1">
      <c r="A31" s="29" t="s">
        <v>82</v>
      </c>
      <c r="B31" s="30" t="s">
        <v>694</v>
      </c>
      <c r="C31" s="31"/>
      <c r="D31" s="4"/>
      <c r="E31" s="4"/>
      <c r="F31" s="4"/>
      <c r="G31" s="34"/>
      <c r="H31" s="4"/>
      <c r="I31" s="4"/>
      <c r="J31" s="4"/>
      <c r="K31" s="4"/>
      <c r="L31" s="4"/>
      <c r="M31" s="4"/>
      <c r="N31" s="4"/>
      <c r="O31" s="4"/>
      <c r="P31" s="4"/>
      <c r="Q31" s="4"/>
      <c r="R31" s="4"/>
    </row>
    <row r="32" ht="16.5" customHeight="1">
      <c r="A32" s="32" t="s">
        <v>66</v>
      </c>
      <c r="B32" s="33" t="s">
        <v>695</v>
      </c>
      <c r="C32" s="34"/>
      <c r="D32" s="4"/>
      <c r="E32" s="27" t="s">
        <v>696</v>
      </c>
      <c r="F32" s="28"/>
      <c r="G32" s="34"/>
      <c r="H32" s="4"/>
      <c r="I32" s="4"/>
      <c r="J32" s="4"/>
      <c r="K32" s="4"/>
      <c r="L32" s="4"/>
      <c r="M32" s="4"/>
      <c r="N32" s="4"/>
      <c r="O32" s="4"/>
      <c r="P32" s="4"/>
      <c r="Q32" s="4"/>
      <c r="R32" s="4"/>
    </row>
    <row r="33" ht="16.5" customHeight="1">
      <c r="A33" s="4"/>
      <c r="B33" s="4"/>
      <c r="C33" s="34"/>
      <c r="D33" s="4"/>
      <c r="E33" s="35" t="s">
        <v>77</v>
      </c>
      <c r="F33" s="30" t="s">
        <v>693</v>
      </c>
      <c r="G33" s="39"/>
      <c r="H33" s="4"/>
      <c r="I33" s="4"/>
      <c r="J33" s="4"/>
      <c r="K33" s="4"/>
      <c r="L33" s="4"/>
      <c r="M33" s="4"/>
      <c r="N33" s="4"/>
      <c r="O33" s="4"/>
      <c r="P33" s="4"/>
      <c r="Q33" s="4"/>
      <c r="R33" s="4"/>
    </row>
    <row r="34" ht="16.5" customHeight="1">
      <c r="A34" s="4"/>
      <c r="B34" s="4"/>
      <c r="C34" s="4"/>
      <c r="D34" s="36"/>
      <c r="E34" s="32" t="str">
        <f>IF(F34="","W TMD-R1-05",IF(F34=B31,A31&amp;"",IF(F34=B32,A32&amp;"","W TMD-R1-05")))</f>
        <v>Team 4</v>
      </c>
      <c r="F34" s="37" t="s">
        <v>694</v>
      </c>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626</v>
      </c>
      <c r="B1" s="2"/>
      <c r="C1" s="2"/>
      <c r="D1" s="2"/>
      <c r="E1" s="2"/>
      <c r="F1" s="2"/>
      <c r="G1" s="2"/>
      <c r="H1" s="2"/>
      <c r="I1" s="2"/>
      <c r="J1" s="2"/>
    </row>
    <row r="2">
      <c r="A2" s="3" t="s">
        <v>56</v>
      </c>
    </row>
    <row r="3">
      <c r="A3" s="4"/>
      <c r="B3" s="4"/>
      <c r="C3" s="4"/>
      <c r="D3" s="4"/>
      <c r="E3" s="4"/>
      <c r="F3" s="4"/>
      <c r="G3" s="4"/>
      <c r="H3" s="4"/>
      <c r="I3" s="4"/>
      <c r="J3" s="4"/>
    </row>
    <row r="4" ht="19.5" customHeight="1">
      <c r="A4" s="22" t="s">
        <v>59</v>
      </c>
      <c r="B4" s="2"/>
      <c r="C4" s="4"/>
      <c r="D4" s="4"/>
      <c r="E4" s="22" t="s">
        <v>8</v>
      </c>
      <c r="F4" s="2"/>
      <c r="G4" s="4"/>
      <c r="H4" s="4"/>
      <c r="I4" s="23" t="s">
        <v>9</v>
      </c>
      <c r="J4" s="24"/>
    </row>
    <row r="5">
      <c r="A5" s="25" t="s">
        <v>624</v>
      </c>
      <c r="B5" s="2"/>
      <c r="C5" s="4"/>
      <c r="D5" s="4"/>
      <c r="E5" s="25" t="s">
        <v>64</v>
      </c>
      <c r="F5" s="2"/>
      <c r="G5" s="4"/>
      <c r="H5" s="4"/>
      <c r="I5" s="26"/>
    </row>
    <row r="6" ht="16.5" customHeight="1">
      <c r="A6" s="27" t="s">
        <v>631</v>
      </c>
      <c r="B6" s="28"/>
      <c r="C6" s="4"/>
      <c r="D6" s="4"/>
      <c r="E6" s="4"/>
      <c r="F6" s="4"/>
      <c r="G6" s="4"/>
      <c r="H6" s="4"/>
      <c r="I6" s="4"/>
      <c r="J6" s="4"/>
    </row>
    <row r="7" ht="16.5" customHeight="1">
      <c r="A7" s="29" t="s">
        <v>82</v>
      </c>
      <c r="B7" s="30" t="s">
        <v>632</v>
      </c>
      <c r="C7" s="31"/>
      <c r="D7" s="4"/>
      <c r="E7" s="4"/>
      <c r="F7" s="4"/>
      <c r="G7" s="4"/>
      <c r="H7" s="4"/>
      <c r="I7" s="4"/>
      <c r="J7" s="4"/>
    </row>
    <row r="8" ht="16.5" customHeight="1">
      <c r="A8" s="32" t="s">
        <v>86</v>
      </c>
      <c r="B8" s="33" t="s">
        <v>633</v>
      </c>
      <c r="C8" s="34"/>
      <c r="D8" s="4"/>
      <c r="E8" s="27" t="s">
        <v>634</v>
      </c>
      <c r="F8" s="28"/>
      <c r="G8" s="4"/>
      <c r="H8" s="4"/>
      <c r="I8" s="46" t="s">
        <v>113</v>
      </c>
      <c r="J8" s="17"/>
    </row>
    <row r="9" ht="16.5" customHeight="1">
      <c r="A9" s="4"/>
      <c r="B9" s="4"/>
      <c r="C9" s="4"/>
      <c r="D9" s="36"/>
      <c r="E9" s="29" t="str">
        <f>IF(F9="","W TWD-R1-01",IF(F9=B7,A7&amp;"",IF(F9=B8,A8&amp;"","W TWD-R1-01")))</f>
        <v>Team 5</v>
      </c>
      <c r="F9" s="38" t="s">
        <v>633</v>
      </c>
      <c r="G9" s="31"/>
      <c r="H9" s="31"/>
      <c r="I9" s="48" t="str">
        <f>IF(J9="","W TWD-R2-01",IF(J9=F9,E9&amp;"",IF(J9=F10,E10&amp;"","W TWD-R2-01")))</f>
        <v>W TWD-R2-01</v>
      </c>
      <c r="J9" s="49"/>
    </row>
    <row r="10" ht="16.5" customHeight="1">
      <c r="A10" s="27" t="s">
        <v>635</v>
      </c>
      <c r="B10" s="28"/>
      <c r="C10" s="34"/>
      <c r="D10" s="36"/>
      <c r="E10" s="32" t="str">
        <f>IF(F10="","W TWD-R1-02",IF(F10=B11,A11&amp;"",IF(F10=B12,A12&amp;"","W TWD-R1-02")))</f>
        <v>Team 6</v>
      </c>
      <c r="F10" s="37" t="s">
        <v>636</v>
      </c>
      <c r="G10" s="4"/>
      <c r="H10" s="4"/>
      <c r="I10" s="50" t="s">
        <v>116</v>
      </c>
      <c r="J10" s="17"/>
    </row>
    <row r="11" ht="16.5" customHeight="1">
      <c r="A11" s="29" t="s">
        <v>66</v>
      </c>
      <c r="B11" s="30" t="s">
        <v>636</v>
      </c>
      <c r="C11" s="39"/>
      <c r="D11" s="4"/>
      <c r="E11" s="4"/>
      <c r="F11" s="4"/>
      <c r="G11" s="4"/>
      <c r="H11" s="4"/>
      <c r="I11" s="55" t="str">
        <f>IF(J9="","L final",IF(J9=F9,E10&amp;"",IF(J9=F10,E9&amp;"","L final")))</f>
        <v>L final</v>
      </c>
      <c r="J11" s="56" t="str">
        <f>IF(J9="","",IF(J9=F9,F10&amp;"",IF(J9=F10,F9&amp;"","")))</f>
        <v/>
      </c>
    </row>
    <row r="12" ht="16.5" customHeight="1">
      <c r="A12" s="32" t="s">
        <v>68</v>
      </c>
      <c r="B12" s="33" t="s">
        <v>637</v>
      </c>
      <c r="C12" s="4"/>
      <c r="D12" s="4"/>
      <c r="E12" s="4"/>
      <c r="F12" s="4"/>
      <c r="G12" s="4"/>
      <c r="H12" s="4"/>
      <c r="I12" s="4"/>
      <c r="J12" s="4"/>
    </row>
    <row r="13" ht="16.5" customHeight="1">
      <c r="A13" s="4"/>
      <c r="B13" s="4"/>
      <c r="C13" s="4"/>
      <c r="D13" s="4"/>
      <c r="E13" s="57" t="s">
        <v>638</v>
      </c>
      <c r="F13" s="28"/>
      <c r="G13" s="4"/>
      <c r="H13" s="4"/>
      <c r="I13" s="59" t="s">
        <v>121</v>
      </c>
      <c r="J13" s="17"/>
    </row>
    <row r="14" ht="16.5" customHeight="1">
      <c r="A14" s="4"/>
      <c r="B14" s="4"/>
      <c r="C14" s="4"/>
      <c r="D14" s="4"/>
      <c r="E14" s="29" t="str">
        <f>IF(F9="","L TWD-R1-01",IF(F9=B7,A8&amp;"",IF(F9=B8,A7&amp;"","L TWD-R1-01")))</f>
        <v>Team 4</v>
      </c>
      <c r="F14" s="21" t="str">
        <f>IF(F9="","",IF(F9=B7,B8&amp;"",IF(F9=B8,B7&amp;"","")))</f>
        <v>Aparna &amp; Deepanjali</v>
      </c>
      <c r="G14" s="31"/>
      <c r="H14" s="31"/>
      <c r="I14" s="60" t="str">
        <f>IF(J14="","W TWD-3P-01",IF(J14=F14,E14&amp;"",IF(J14=F15,E15&amp;"","W TWD-3P-01")))</f>
        <v>Team 1</v>
      </c>
      <c r="J14" s="61" t="s">
        <v>637</v>
      </c>
    </row>
    <row r="15" ht="16.5" customHeight="1">
      <c r="A15" s="4"/>
      <c r="B15" s="4"/>
      <c r="C15" s="4"/>
      <c r="D15" s="4"/>
      <c r="E15" s="32" t="str">
        <f>IF(F10="","L TWD-R1-02",IF(F10=B11,A12&amp;"",IF(F10=B12,A11&amp;"","L TWD-R1-02")))</f>
        <v>Team 1</v>
      </c>
      <c r="F15" s="62" t="str">
        <f>IF(F10="","",IF(F10=B11,B12&amp;"",IF(F10=B12,B11&amp;"","")))</f>
        <v>Neethu &amp; Nivya Mathew</v>
      </c>
      <c r="G15" s="4"/>
      <c r="H15" s="4"/>
      <c r="I15" s="4"/>
      <c r="J15" s="4"/>
    </row>
    <row r="16">
      <c r="A16" s="4"/>
      <c r="B16" s="4"/>
      <c r="C16" s="4"/>
      <c r="D16" s="4"/>
      <c r="E16" s="4"/>
      <c r="F16" s="4"/>
      <c r="G16" s="4"/>
      <c r="H16" s="4"/>
      <c r="I16" s="4"/>
      <c r="J16" s="4"/>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4"/>
      <c r="B20" s="4"/>
      <c r="C20" s="4"/>
      <c r="D20" s="4"/>
      <c r="E20" s="4"/>
      <c r="F20" s="4"/>
      <c r="G20" s="4"/>
      <c r="H20" s="4"/>
      <c r="I20" s="4"/>
      <c r="J20" s="4"/>
    </row>
    <row r="21" ht="15.75" customHeight="1">
      <c r="A21" s="4"/>
      <c r="B21" s="4"/>
      <c r="C21" s="4"/>
      <c r="D21" s="4"/>
      <c r="E21" s="4"/>
      <c r="F21" s="4"/>
      <c r="G21" s="4"/>
      <c r="H21" s="4"/>
      <c r="I21" s="4"/>
      <c r="J21" s="4"/>
    </row>
    <row r="22" ht="15.75" customHeight="1">
      <c r="A22" s="4"/>
      <c r="B22" s="4"/>
      <c r="C22" s="4"/>
      <c r="D22" s="4"/>
      <c r="E22" s="4"/>
      <c r="F22" s="4"/>
      <c r="G22" s="4"/>
      <c r="H22" s="4"/>
      <c r="I22" s="4"/>
      <c r="J22" s="4"/>
    </row>
    <row r="23" ht="15.75" customHeight="1">
      <c r="A23" s="4"/>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639</v>
      </c>
      <c r="B1" s="2"/>
      <c r="C1" s="2"/>
      <c r="D1" s="2"/>
      <c r="E1" s="2"/>
      <c r="F1" s="2"/>
      <c r="G1" s="2"/>
      <c r="H1" s="2"/>
      <c r="I1" s="2"/>
      <c r="J1" s="2"/>
      <c r="K1" s="2"/>
      <c r="L1" s="2"/>
      <c r="M1" s="2"/>
      <c r="N1" s="2"/>
      <c r="O1" s="2"/>
      <c r="P1" s="2"/>
      <c r="Q1" s="2"/>
      <c r="R1" s="2"/>
    </row>
    <row r="2">
      <c r="A2" s="3" t="s">
        <v>640</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641</v>
      </c>
      <c r="B5" s="2"/>
      <c r="C5" s="4"/>
      <c r="D5" s="4"/>
      <c r="E5" s="25" t="s">
        <v>641</v>
      </c>
      <c r="F5" s="2"/>
      <c r="G5" s="4"/>
      <c r="H5" s="4"/>
      <c r="I5" s="25" t="s">
        <v>642</v>
      </c>
      <c r="J5" s="2"/>
      <c r="K5" s="4"/>
      <c r="L5" s="4"/>
      <c r="M5" s="25" t="s">
        <v>643</v>
      </c>
      <c r="N5" s="2"/>
      <c r="O5" s="4"/>
      <c r="P5" s="4"/>
      <c r="Q5" s="26"/>
    </row>
    <row r="6" ht="16.5" customHeight="1">
      <c r="A6" s="27" t="s">
        <v>644</v>
      </c>
      <c r="B6" s="28"/>
      <c r="C6" s="4"/>
      <c r="D6" s="4"/>
      <c r="E6" s="4"/>
      <c r="F6" s="4"/>
      <c r="G6" s="4"/>
      <c r="H6" s="4"/>
      <c r="I6" s="4"/>
      <c r="J6" s="4"/>
      <c r="K6" s="4"/>
      <c r="L6" s="4"/>
      <c r="M6" s="4"/>
      <c r="N6" s="4"/>
      <c r="O6" s="4"/>
      <c r="P6" s="4"/>
      <c r="Q6" s="4"/>
      <c r="R6" s="4"/>
    </row>
    <row r="7" ht="16.5" customHeight="1">
      <c r="A7" s="29" t="s">
        <v>71</v>
      </c>
      <c r="B7" s="30" t="s">
        <v>645</v>
      </c>
      <c r="C7" s="31"/>
      <c r="D7" s="4"/>
      <c r="E7" s="4"/>
      <c r="F7" s="4"/>
      <c r="G7" s="4"/>
      <c r="H7" s="4"/>
      <c r="I7" s="4"/>
      <c r="J7" s="4"/>
      <c r="K7" s="4"/>
      <c r="L7" s="4"/>
      <c r="M7" s="4"/>
      <c r="N7" s="4"/>
      <c r="O7" s="4"/>
      <c r="P7" s="4"/>
      <c r="Q7" s="4"/>
      <c r="R7" s="4"/>
    </row>
    <row r="8" ht="16.5" customHeight="1">
      <c r="A8" s="32" t="s">
        <v>82</v>
      </c>
      <c r="B8" s="33" t="s">
        <v>646</v>
      </c>
      <c r="C8" s="34"/>
      <c r="D8" s="4"/>
      <c r="E8" s="27" t="s">
        <v>647</v>
      </c>
      <c r="F8" s="28"/>
      <c r="G8" s="4"/>
      <c r="H8" s="4"/>
      <c r="I8" s="4"/>
      <c r="J8" s="4"/>
      <c r="K8" s="4"/>
      <c r="L8" s="4"/>
      <c r="M8" s="4"/>
      <c r="N8" s="4"/>
      <c r="O8" s="4"/>
      <c r="P8" s="4"/>
      <c r="Q8" s="4"/>
      <c r="R8" s="4"/>
    </row>
    <row r="9" ht="16.5" customHeight="1">
      <c r="A9" s="4"/>
      <c r="B9" s="4"/>
      <c r="C9" s="34"/>
      <c r="D9" s="4"/>
      <c r="E9" s="35" t="s">
        <v>66</v>
      </c>
      <c r="F9" s="30" t="s">
        <v>648</v>
      </c>
      <c r="G9" s="31"/>
      <c r="H9" s="4"/>
      <c r="I9" s="4"/>
      <c r="J9" s="4"/>
      <c r="K9" s="4"/>
      <c r="L9" s="4"/>
      <c r="M9" s="4"/>
      <c r="N9" s="4"/>
      <c r="O9" s="4"/>
      <c r="P9" s="4"/>
      <c r="Q9" s="4"/>
      <c r="R9" s="4"/>
    </row>
    <row r="10" ht="16.5" customHeight="1">
      <c r="A10" s="4"/>
      <c r="B10" s="4"/>
      <c r="C10" s="4"/>
      <c r="D10" s="36"/>
      <c r="E10" s="32" t="str">
        <f>IF(F10="","W BMS-R1-01",IF(F10=B7,A7&amp;"",IF(F10=B8,A8&amp;"","W BMS-R1-01")))</f>
        <v>W BMS-R1-01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659</v>
      </c>
      <c r="J12" s="28"/>
      <c r="K12" s="4"/>
      <c r="L12" s="4"/>
      <c r="M12" s="4"/>
      <c r="N12" s="4"/>
      <c r="O12" s="4"/>
      <c r="P12" s="4"/>
      <c r="Q12" s="4"/>
      <c r="R12" s="4"/>
    </row>
    <row r="13" ht="16.5" customHeight="1">
      <c r="A13" s="4"/>
      <c r="B13" s="4"/>
      <c r="C13" s="4"/>
      <c r="D13" s="4"/>
      <c r="E13" s="4"/>
      <c r="F13" s="4"/>
      <c r="G13" s="4"/>
      <c r="H13" s="36"/>
      <c r="I13" s="29" t="str">
        <f>IF(J13="","W BMS-R2-01",IF(J13=F9,E9&amp;"",IF(J13=F10,E10&amp;"","W BMS-R2-01")))</f>
        <v>W BMS-R2-01</v>
      </c>
      <c r="J13" s="38"/>
      <c r="K13" s="31"/>
      <c r="L13" s="4"/>
      <c r="M13" s="4"/>
      <c r="N13" s="4"/>
      <c r="O13" s="4"/>
      <c r="P13" s="4"/>
      <c r="Q13" s="4"/>
      <c r="R13" s="4"/>
    </row>
    <row r="14" ht="16.5" customHeight="1">
      <c r="A14" s="27" t="s">
        <v>661</v>
      </c>
      <c r="B14" s="28"/>
      <c r="C14" s="4"/>
      <c r="D14" s="4"/>
      <c r="E14" s="4"/>
      <c r="F14" s="4"/>
      <c r="G14" s="34"/>
      <c r="H14" s="36"/>
      <c r="I14" s="32" t="str">
        <f>IF(J14="","W BMS-R2-02",IF(J14=F17,E17&amp;"",IF(J14=F18,E18&amp;"","W BMS-R2-02")))</f>
        <v>W BMS-R2-02</v>
      </c>
      <c r="J14" s="37"/>
      <c r="K14" s="34"/>
      <c r="L14" s="4"/>
      <c r="M14" s="4"/>
      <c r="N14" s="4"/>
      <c r="O14" s="4"/>
      <c r="P14" s="4"/>
      <c r="Q14" s="4"/>
      <c r="R14" s="4"/>
    </row>
    <row r="15" ht="16.5" customHeight="1">
      <c r="A15" s="29" t="s">
        <v>86</v>
      </c>
      <c r="B15" s="30" t="s">
        <v>107</v>
      </c>
      <c r="C15" s="31"/>
      <c r="D15" s="4"/>
      <c r="E15" s="4"/>
      <c r="F15" s="4"/>
      <c r="G15" s="34"/>
      <c r="H15" s="4"/>
      <c r="I15" s="4"/>
      <c r="J15" s="4"/>
      <c r="K15" s="34"/>
      <c r="L15" s="4"/>
      <c r="M15" s="4"/>
      <c r="N15" s="4"/>
      <c r="O15" s="4"/>
      <c r="P15" s="4"/>
      <c r="Q15" s="4"/>
      <c r="R15" s="4"/>
    </row>
    <row r="16" ht="16.5" customHeight="1">
      <c r="A16" s="32" t="s">
        <v>68</v>
      </c>
      <c r="B16" s="33" t="s">
        <v>421</v>
      </c>
      <c r="C16" s="34"/>
      <c r="D16" s="4"/>
      <c r="E16" s="27" t="s">
        <v>663</v>
      </c>
      <c r="F16" s="28"/>
      <c r="G16" s="34"/>
      <c r="H16" s="4"/>
      <c r="I16" s="4"/>
      <c r="J16" s="4"/>
      <c r="K16" s="34"/>
      <c r="L16" s="4"/>
      <c r="M16" s="4"/>
      <c r="N16" s="4"/>
      <c r="O16" s="4"/>
      <c r="P16" s="4"/>
      <c r="Q16" s="4"/>
      <c r="R16" s="4"/>
    </row>
    <row r="17" ht="16.5" customHeight="1">
      <c r="A17" s="4"/>
      <c r="B17" s="4"/>
      <c r="C17" s="34"/>
      <c r="D17" s="4"/>
      <c r="E17" s="35" t="s">
        <v>77</v>
      </c>
      <c r="F17" s="30" t="s">
        <v>664</v>
      </c>
      <c r="G17" s="39"/>
      <c r="H17" s="4"/>
      <c r="I17" s="4"/>
      <c r="J17" s="4"/>
      <c r="K17" s="34"/>
      <c r="L17" s="4"/>
      <c r="M17" s="4"/>
      <c r="N17" s="4"/>
      <c r="O17" s="4"/>
      <c r="P17" s="4"/>
      <c r="Q17" s="4"/>
      <c r="R17" s="4"/>
    </row>
    <row r="18" ht="16.5" customHeight="1">
      <c r="A18" s="4"/>
      <c r="B18" s="4"/>
      <c r="C18" s="4"/>
      <c r="D18" s="36"/>
      <c r="E18" s="32" t="str">
        <f>IF(F18="","W BMS-R1-02",IF(F18=B15,A15&amp;"",IF(F18=B16,A16&amp;"","W BMS-R1-02")))</f>
        <v>W BMS-R1-02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666</v>
      </c>
      <c r="N20" s="28"/>
      <c r="O20" s="4"/>
      <c r="P20" s="4"/>
      <c r="Q20" s="46" t="s">
        <v>113</v>
      </c>
      <c r="R20" s="17"/>
    </row>
    <row r="21" ht="16.5" customHeight="1">
      <c r="A21" s="4"/>
      <c r="B21" s="4"/>
      <c r="C21" s="4"/>
      <c r="D21" s="4"/>
      <c r="E21" s="4"/>
      <c r="F21" s="4"/>
      <c r="G21" s="4"/>
      <c r="H21" s="4"/>
      <c r="I21" s="4"/>
      <c r="J21" s="4"/>
      <c r="K21" s="4"/>
      <c r="L21" s="36"/>
      <c r="M21" s="29" t="str">
        <f>IF(N21="","W BMS-R3-01",IF(N21=J13,I13&amp;"",IF(N21=J14,I14&amp;"","W BMS-R3-01")))</f>
        <v>W BMS-R3-01</v>
      </c>
      <c r="N21" s="38"/>
      <c r="O21" s="31"/>
      <c r="P21" s="31"/>
      <c r="Q21" s="48" t="str">
        <f>IF(R21="","W BMS-R4-01",IF(R21=N21,M21&amp;"",IF(R21=N22,M22&amp;"","W BMS-R4-01")))</f>
        <v>W BMS-R4-01</v>
      </c>
      <c r="R21" s="49"/>
    </row>
    <row r="22" ht="16.5" customHeight="1">
      <c r="A22" s="27" t="s">
        <v>674</v>
      </c>
      <c r="B22" s="28"/>
      <c r="C22" s="4"/>
      <c r="D22" s="4"/>
      <c r="E22" s="4"/>
      <c r="F22" s="4"/>
      <c r="G22" s="4"/>
      <c r="H22" s="4"/>
      <c r="I22" s="4"/>
      <c r="J22" s="4"/>
      <c r="K22" s="34"/>
      <c r="L22" s="36"/>
      <c r="M22" s="32" t="str">
        <f>IF(N22="","W BMS-R3-02",IF(N22=J29,I29&amp;"",IF(N22=J30,I30&amp;"","W BMS-R3-02")))</f>
        <v>W BMS-R3-02</v>
      </c>
      <c r="N22" s="37"/>
      <c r="O22" s="4"/>
      <c r="P22" s="4"/>
      <c r="Q22" s="50" t="s">
        <v>116</v>
      </c>
      <c r="R22" s="17"/>
    </row>
    <row r="23" ht="16.5" customHeight="1">
      <c r="A23" s="29" t="s">
        <v>68</v>
      </c>
      <c r="B23" s="30" t="s">
        <v>428</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82</v>
      </c>
      <c r="B24" s="33" t="s">
        <v>470</v>
      </c>
      <c r="C24" s="34"/>
      <c r="D24" s="4"/>
      <c r="E24" s="27" t="s">
        <v>675</v>
      </c>
      <c r="F24" s="28"/>
      <c r="G24" s="4"/>
      <c r="H24" s="4"/>
      <c r="I24" s="4"/>
      <c r="J24" s="4"/>
      <c r="K24" s="34"/>
      <c r="L24" s="4"/>
      <c r="M24" s="4"/>
      <c r="N24" s="4"/>
      <c r="O24" s="4"/>
      <c r="P24" s="4"/>
      <c r="Q24" s="4"/>
      <c r="R24" s="4"/>
    </row>
    <row r="25" ht="16.5" customHeight="1">
      <c r="A25" s="4"/>
      <c r="B25" s="4"/>
      <c r="C25" s="34"/>
      <c r="D25" s="4"/>
      <c r="E25" s="35" t="s">
        <v>86</v>
      </c>
      <c r="F25" s="30" t="s">
        <v>135</v>
      </c>
      <c r="G25" s="31"/>
      <c r="H25" s="4"/>
      <c r="I25" s="4"/>
      <c r="J25" s="4"/>
      <c r="K25" s="34"/>
      <c r="L25" s="4"/>
      <c r="M25" s="57" t="s">
        <v>676</v>
      </c>
      <c r="N25" s="28"/>
      <c r="O25" s="4"/>
      <c r="P25" s="4"/>
      <c r="Q25" s="59" t="s">
        <v>121</v>
      </c>
      <c r="R25" s="17"/>
    </row>
    <row r="26" ht="16.5" customHeight="1">
      <c r="A26" s="4"/>
      <c r="B26" s="4"/>
      <c r="C26" s="4"/>
      <c r="D26" s="36"/>
      <c r="E26" s="32" t="str">
        <f>IF(F26="","W BMS-R1-03",IF(F26=B23,A23&amp;"",IF(F26=B24,A24&amp;"","W BMS-R1-03")))</f>
        <v>W BMS-R1-03</v>
      </c>
      <c r="F26" s="37"/>
      <c r="G26" s="34"/>
      <c r="H26" s="4"/>
      <c r="I26" s="4"/>
      <c r="J26" s="4"/>
      <c r="K26" s="34"/>
      <c r="L26" s="4"/>
      <c r="M26" s="29" t="str">
        <f>IF(N21="","L BMS-R3-01",IF(N21=J13,I14&amp;"",IF(N21=J14,I13&amp;"","L BMS-R3-01")))</f>
        <v>L BMS-R3-01</v>
      </c>
      <c r="N26" s="21" t="str">
        <f>IF(N21="","",IF(N21=J13,J14&amp;"",IF(N21=J14,J13&amp;"","")))</f>
        <v/>
      </c>
      <c r="O26" s="31"/>
      <c r="P26" s="31"/>
      <c r="Q26" s="60" t="str">
        <f>IF(R26="","W BMS-3P-01",IF(R26=N26,M26&amp;"",IF(R26=N27,M27&amp;"","W BMS-3P-01")))</f>
        <v>W BMS-3P-01</v>
      </c>
      <c r="R26" s="61"/>
    </row>
    <row r="27" ht="16.5" customHeight="1">
      <c r="A27" s="4"/>
      <c r="B27" s="4"/>
      <c r="C27" s="4"/>
      <c r="D27" s="4"/>
      <c r="E27" s="4"/>
      <c r="F27" s="4"/>
      <c r="G27" s="34"/>
      <c r="H27" s="4"/>
      <c r="I27" s="4"/>
      <c r="J27" s="4"/>
      <c r="K27" s="34"/>
      <c r="L27" s="4"/>
      <c r="M27" s="32" t="str">
        <f>IF(N22="","L BMS-R3-02",IF(N22=J29,I30&amp;"",IF(N22=J30,I29&amp;"","L BMS-R3-02")))</f>
        <v>L BMS-R3-02</v>
      </c>
      <c r="N27" s="62" t="str">
        <f>IF(N22="","",IF(N22=J29,J30&amp;"",IF(N22=J30,J29&amp;"","")))</f>
        <v/>
      </c>
      <c r="O27" s="4"/>
      <c r="P27" s="4"/>
      <c r="Q27" s="4"/>
      <c r="R27" s="4"/>
    </row>
    <row r="28" ht="16.5" customHeight="1">
      <c r="A28" s="4"/>
      <c r="B28" s="4"/>
      <c r="C28" s="4"/>
      <c r="D28" s="4"/>
      <c r="E28" s="4"/>
      <c r="F28" s="4"/>
      <c r="G28" s="34"/>
      <c r="H28" s="4"/>
      <c r="I28" s="27" t="s">
        <v>692</v>
      </c>
      <c r="J28" s="28"/>
      <c r="K28" s="34"/>
      <c r="L28" s="4"/>
      <c r="M28" s="4"/>
      <c r="N28" s="4"/>
      <c r="O28" s="4"/>
      <c r="P28" s="4"/>
      <c r="Q28" s="4"/>
      <c r="R28" s="4"/>
    </row>
    <row r="29" ht="16.5" customHeight="1">
      <c r="A29" s="4"/>
      <c r="B29" s="4"/>
      <c r="C29" s="4"/>
      <c r="D29" s="4"/>
      <c r="E29" s="4"/>
      <c r="F29" s="4"/>
      <c r="G29" s="4"/>
      <c r="H29" s="36"/>
      <c r="I29" s="29" t="str">
        <f>IF(J29="","W BMS-R2-03",IF(J29=F25,E25&amp;"",IF(J29=F26,E26&amp;"","W BMS-R2-03")))</f>
        <v>W BMS-R2-03</v>
      </c>
      <c r="J29" s="38"/>
      <c r="K29" s="39"/>
      <c r="L29" s="4"/>
      <c r="M29" s="4"/>
      <c r="N29" s="4"/>
      <c r="O29" s="4"/>
      <c r="P29" s="4"/>
      <c r="Q29" s="4"/>
      <c r="R29" s="4"/>
    </row>
    <row r="30" ht="16.5" customHeight="1">
      <c r="A30" s="27" t="s">
        <v>697</v>
      </c>
      <c r="B30" s="28"/>
      <c r="C30" s="4"/>
      <c r="D30" s="4"/>
      <c r="E30" s="4"/>
      <c r="F30" s="4"/>
      <c r="G30" s="34"/>
      <c r="H30" s="36"/>
      <c r="I30" s="32" t="str">
        <f>IF(J30="","W BMS-R2-04",IF(J30=F33,E33&amp;"",IF(J30=F34,E34&amp;"","W BMS-R2-04")))</f>
        <v>W BMS-R2-04</v>
      </c>
      <c r="J30" s="37"/>
      <c r="K30" s="4"/>
      <c r="L30" s="4"/>
      <c r="M30" s="4"/>
      <c r="N30" s="4"/>
      <c r="O30" s="4"/>
      <c r="P30" s="4"/>
      <c r="Q30" s="4"/>
      <c r="R30" s="4"/>
    </row>
    <row r="31" ht="16.5" customHeight="1">
      <c r="A31" s="29" t="s">
        <v>71</v>
      </c>
      <c r="B31" s="30" t="s">
        <v>128</v>
      </c>
      <c r="C31" s="31"/>
      <c r="D31" s="4"/>
      <c r="E31" s="4"/>
      <c r="F31" s="4"/>
      <c r="G31" s="34"/>
      <c r="H31" s="4"/>
      <c r="I31" s="4"/>
      <c r="J31" s="4"/>
      <c r="K31" s="4"/>
      <c r="L31" s="4"/>
      <c r="M31" s="4"/>
      <c r="N31" s="4"/>
      <c r="O31" s="4"/>
      <c r="P31" s="4"/>
      <c r="Q31" s="4"/>
      <c r="R31" s="4"/>
    </row>
    <row r="32" ht="16.5" customHeight="1">
      <c r="A32" s="32" t="s">
        <v>66</v>
      </c>
      <c r="B32" s="33" t="s">
        <v>300</v>
      </c>
      <c r="C32" s="34"/>
      <c r="D32" s="4"/>
      <c r="E32" s="27" t="s">
        <v>698</v>
      </c>
      <c r="F32" s="28"/>
      <c r="G32" s="34"/>
      <c r="H32" s="4"/>
      <c r="I32" s="4"/>
      <c r="J32" s="4"/>
      <c r="K32" s="4"/>
      <c r="L32" s="4"/>
      <c r="M32" s="4"/>
      <c r="N32" s="4"/>
      <c r="O32" s="4"/>
      <c r="P32" s="4"/>
      <c r="Q32" s="4"/>
      <c r="R32" s="4"/>
    </row>
    <row r="33" ht="16.5" customHeight="1">
      <c r="A33" s="4"/>
      <c r="B33" s="4"/>
      <c r="C33" s="34"/>
      <c r="D33" s="4"/>
      <c r="E33" s="35" t="s">
        <v>77</v>
      </c>
      <c r="F33" s="30" t="s">
        <v>482</v>
      </c>
      <c r="G33" s="39"/>
      <c r="H33" s="4"/>
      <c r="I33" s="4"/>
      <c r="J33" s="4"/>
      <c r="K33" s="4"/>
      <c r="L33" s="4"/>
      <c r="M33" s="4"/>
      <c r="N33" s="4"/>
      <c r="O33" s="4"/>
      <c r="P33" s="4"/>
      <c r="Q33" s="4"/>
      <c r="R33" s="4"/>
    </row>
    <row r="34" ht="16.5" customHeight="1">
      <c r="A34" s="4"/>
      <c r="B34" s="4"/>
      <c r="C34" s="4"/>
      <c r="D34" s="36"/>
      <c r="E34" s="32" t="str">
        <f>IF(F34="","W BMS-R1-04",IF(F34=B31,A31&amp;"",IF(F34=B32,A32&amp;"","W BMS-R1-04")))</f>
        <v>W BMS-R1-04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649</v>
      </c>
      <c r="B1" s="2"/>
      <c r="C1" s="2"/>
      <c r="D1" s="2"/>
      <c r="E1" s="2"/>
      <c r="F1" s="2"/>
      <c r="G1" s="2"/>
      <c r="H1" s="2"/>
      <c r="I1" s="2"/>
      <c r="J1" s="2"/>
      <c r="K1" s="2"/>
      <c r="L1" s="2"/>
      <c r="M1" s="2"/>
      <c r="N1" s="2"/>
      <c r="O1" s="2"/>
      <c r="P1" s="2"/>
      <c r="Q1" s="2"/>
      <c r="R1" s="2"/>
    </row>
    <row r="2">
      <c r="A2" s="3" t="s">
        <v>640</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641</v>
      </c>
      <c r="B5" s="2"/>
      <c r="C5" s="4"/>
      <c r="D5" s="4"/>
      <c r="E5" s="25" t="s">
        <v>641</v>
      </c>
      <c r="F5" s="2"/>
      <c r="G5" s="4"/>
      <c r="H5" s="4"/>
      <c r="I5" s="25" t="s">
        <v>642</v>
      </c>
      <c r="J5" s="2"/>
      <c r="K5" s="4"/>
      <c r="L5" s="4"/>
      <c r="M5" s="25" t="s">
        <v>643</v>
      </c>
      <c r="N5" s="2"/>
      <c r="O5" s="4"/>
      <c r="P5" s="4"/>
      <c r="Q5" s="26"/>
    </row>
    <row r="6" ht="16.5" customHeight="1">
      <c r="A6" s="27" t="s">
        <v>650</v>
      </c>
      <c r="B6" s="28"/>
      <c r="C6" s="4"/>
      <c r="D6" s="4"/>
      <c r="E6" s="4"/>
      <c r="F6" s="4"/>
      <c r="G6" s="4"/>
      <c r="H6" s="4"/>
      <c r="I6" s="4"/>
      <c r="J6" s="4"/>
      <c r="K6" s="4"/>
      <c r="L6" s="4"/>
      <c r="M6" s="4"/>
      <c r="N6" s="4"/>
      <c r="O6" s="4"/>
      <c r="P6" s="4"/>
      <c r="Q6" s="4"/>
      <c r="R6" s="4"/>
    </row>
    <row r="7" ht="16.5" customHeight="1">
      <c r="A7" s="29" t="s">
        <v>86</v>
      </c>
      <c r="B7" s="30" t="s">
        <v>651</v>
      </c>
      <c r="C7" s="31"/>
      <c r="D7" s="4"/>
      <c r="E7" s="4"/>
      <c r="F7" s="4"/>
      <c r="G7" s="4"/>
      <c r="H7" s="4"/>
      <c r="I7" s="4"/>
      <c r="J7" s="4"/>
      <c r="K7" s="4"/>
      <c r="L7" s="4"/>
      <c r="M7" s="4"/>
      <c r="N7" s="4"/>
      <c r="O7" s="4"/>
      <c r="P7" s="4"/>
      <c r="Q7" s="4"/>
      <c r="R7" s="4"/>
    </row>
    <row r="8" ht="16.5" customHeight="1">
      <c r="A8" s="32" t="s">
        <v>77</v>
      </c>
      <c r="B8" s="33" t="s">
        <v>652</v>
      </c>
      <c r="C8" s="34"/>
      <c r="D8" s="4"/>
      <c r="E8" s="27" t="s">
        <v>653</v>
      </c>
      <c r="F8" s="28"/>
      <c r="G8" s="4"/>
      <c r="H8" s="4"/>
      <c r="I8" s="4"/>
      <c r="J8" s="4"/>
      <c r="K8" s="4"/>
      <c r="L8" s="4"/>
      <c r="M8" s="4"/>
      <c r="N8" s="4"/>
      <c r="O8" s="4"/>
      <c r="P8" s="4"/>
      <c r="Q8" s="4"/>
      <c r="R8" s="4"/>
    </row>
    <row r="9" ht="16.5" customHeight="1">
      <c r="A9" s="4"/>
      <c r="B9" s="4"/>
      <c r="C9" s="34"/>
      <c r="D9" s="4"/>
      <c r="E9" s="35" t="s">
        <v>71</v>
      </c>
      <c r="F9" s="30" t="s">
        <v>654</v>
      </c>
      <c r="G9" s="31"/>
      <c r="H9" s="4"/>
      <c r="I9" s="4"/>
      <c r="J9" s="4"/>
      <c r="K9" s="4"/>
      <c r="L9" s="4"/>
      <c r="M9" s="4"/>
      <c r="N9" s="4"/>
      <c r="O9" s="4"/>
      <c r="P9" s="4"/>
      <c r="Q9" s="4"/>
      <c r="R9" s="4"/>
    </row>
    <row r="10" ht="16.5" customHeight="1">
      <c r="A10" s="4"/>
      <c r="B10" s="4"/>
      <c r="C10" s="4"/>
      <c r="D10" s="36"/>
      <c r="E10" s="32" t="str">
        <f>IF(F10="","W BWS-R1-01",IF(F10=B7,A7&amp;"",IF(F10=B8,A8&amp;"","W BWS-R1-01")))</f>
        <v>W BWS-R1-01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655</v>
      </c>
      <c r="J12" s="28"/>
      <c r="K12" s="4"/>
      <c r="L12" s="4"/>
      <c r="M12" s="4"/>
      <c r="N12" s="4"/>
      <c r="O12" s="4"/>
      <c r="P12" s="4"/>
      <c r="Q12" s="4"/>
      <c r="R12" s="4"/>
    </row>
    <row r="13" ht="16.5" customHeight="1">
      <c r="A13" s="4"/>
      <c r="B13" s="4"/>
      <c r="C13" s="4"/>
      <c r="D13" s="4"/>
      <c r="E13" s="4"/>
      <c r="F13" s="4"/>
      <c r="G13" s="4"/>
      <c r="H13" s="36"/>
      <c r="I13" s="29" t="str">
        <f>IF(J13="","W BWS-R2-01",IF(J13=F9,E9&amp;"",IF(J13=F10,E10&amp;"","W BWS-R2-01")))</f>
        <v>W BWS-R2-01</v>
      </c>
      <c r="J13" s="38"/>
      <c r="K13" s="31"/>
      <c r="L13" s="4"/>
      <c r="M13" s="4"/>
      <c r="N13" s="4"/>
      <c r="O13" s="4"/>
      <c r="P13" s="4"/>
      <c r="Q13" s="4"/>
      <c r="R13" s="4"/>
    </row>
    <row r="14" ht="16.5" customHeight="1">
      <c r="A14" s="27" t="s">
        <v>656</v>
      </c>
      <c r="B14" s="28"/>
      <c r="C14" s="4"/>
      <c r="D14" s="4"/>
      <c r="E14" s="4"/>
      <c r="F14" s="4"/>
      <c r="G14" s="34"/>
      <c r="H14" s="36"/>
      <c r="I14" s="32" t="str">
        <f>IF(J14="","W BWS-R2-02",IF(J14=F17,E17&amp;"",IF(J14=F18,E18&amp;"","W BWS-R2-02")))</f>
        <v>W BWS-R2-02</v>
      </c>
      <c r="J14" s="37"/>
      <c r="K14" s="34"/>
      <c r="L14" s="4"/>
      <c r="M14" s="4"/>
      <c r="N14" s="4"/>
      <c r="O14" s="4"/>
      <c r="P14" s="4"/>
      <c r="Q14" s="4"/>
      <c r="R14" s="4"/>
    </row>
    <row r="15" ht="16.5" customHeight="1">
      <c r="A15" s="29" t="s">
        <v>66</v>
      </c>
      <c r="B15" s="30" t="s">
        <v>519</v>
      </c>
      <c r="C15" s="31"/>
      <c r="D15" s="4"/>
      <c r="E15" s="4"/>
      <c r="F15" s="4"/>
      <c r="G15" s="34"/>
      <c r="H15" s="4"/>
      <c r="I15" s="4"/>
      <c r="J15" s="4"/>
      <c r="K15" s="34"/>
      <c r="L15" s="4"/>
      <c r="M15" s="4"/>
      <c r="N15" s="4"/>
      <c r="O15" s="4"/>
      <c r="P15" s="4"/>
      <c r="Q15" s="4"/>
      <c r="R15" s="4"/>
    </row>
    <row r="16" ht="16.5" customHeight="1">
      <c r="A16" s="32" t="s">
        <v>68</v>
      </c>
      <c r="B16" s="33" t="s">
        <v>520</v>
      </c>
      <c r="C16" s="34"/>
      <c r="D16" s="4"/>
      <c r="E16" s="27" t="s">
        <v>657</v>
      </c>
      <c r="F16" s="28"/>
      <c r="G16" s="34"/>
      <c r="H16" s="4"/>
      <c r="I16" s="4"/>
      <c r="J16" s="4"/>
      <c r="K16" s="34"/>
      <c r="L16" s="4"/>
      <c r="M16" s="4"/>
      <c r="N16" s="4"/>
      <c r="O16" s="4"/>
      <c r="P16" s="4"/>
      <c r="Q16" s="4"/>
      <c r="R16" s="4"/>
    </row>
    <row r="17" ht="16.5" customHeight="1">
      <c r="A17" s="4"/>
      <c r="B17" s="4"/>
      <c r="C17" s="34"/>
      <c r="D17" s="4"/>
      <c r="E17" s="35" t="s">
        <v>82</v>
      </c>
      <c r="F17" s="30" t="s">
        <v>658</v>
      </c>
      <c r="G17" s="39"/>
      <c r="H17" s="4"/>
      <c r="I17" s="4"/>
      <c r="J17" s="4"/>
      <c r="K17" s="34"/>
      <c r="L17" s="4"/>
      <c r="M17" s="4"/>
      <c r="N17" s="4"/>
      <c r="O17" s="4"/>
      <c r="P17" s="4"/>
      <c r="Q17" s="4"/>
      <c r="R17" s="4"/>
    </row>
    <row r="18" ht="16.5" customHeight="1">
      <c r="A18" s="4"/>
      <c r="B18" s="4"/>
      <c r="C18" s="4"/>
      <c r="D18" s="36"/>
      <c r="E18" s="32" t="str">
        <f>IF(F18="","W BWS-R1-02",IF(F18=B15,A15&amp;"",IF(F18=B16,A16&amp;"","W BWS-R1-02")))</f>
        <v>W BWS-R1-02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660</v>
      </c>
      <c r="N20" s="28"/>
      <c r="O20" s="4"/>
      <c r="P20" s="4"/>
      <c r="Q20" s="46" t="s">
        <v>113</v>
      </c>
      <c r="R20" s="17"/>
    </row>
    <row r="21" ht="16.5" customHeight="1">
      <c r="A21" s="4"/>
      <c r="B21" s="4"/>
      <c r="C21" s="4"/>
      <c r="D21" s="4"/>
      <c r="E21" s="4"/>
      <c r="F21" s="4"/>
      <c r="G21" s="4"/>
      <c r="H21" s="4"/>
      <c r="I21" s="4"/>
      <c r="J21" s="4"/>
      <c r="K21" s="4"/>
      <c r="L21" s="36"/>
      <c r="M21" s="29" t="str">
        <f>IF(N21="","W BWS-R3-01",IF(N21=J13,I13&amp;"",IF(N21=J14,I14&amp;"","W BWS-R3-01")))</f>
        <v>W BWS-R3-01</v>
      </c>
      <c r="N21" s="38"/>
      <c r="O21" s="31"/>
      <c r="P21" s="31"/>
      <c r="Q21" s="48" t="str">
        <f>IF(R21="","W BWS-R4-01",IF(R21=N21,M21&amp;"",IF(R21=N22,M22&amp;"","W BWS-R4-01")))</f>
        <v>W BWS-R4-01</v>
      </c>
      <c r="R21" s="49"/>
    </row>
    <row r="22" ht="16.5" customHeight="1">
      <c r="A22" s="27" t="s">
        <v>662</v>
      </c>
      <c r="B22" s="28"/>
      <c r="C22" s="4"/>
      <c r="D22" s="4"/>
      <c r="E22" s="4"/>
      <c r="F22" s="4"/>
      <c r="G22" s="4"/>
      <c r="H22" s="4"/>
      <c r="I22" s="4"/>
      <c r="J22" s="4"/>
      <c r="K22" s="34"/>
      <c r="L22" s="36"/>
      <c r="M22" s="32" t="str">
        <f>IF(N22="","W BWS-R3-02",IF(N22=J29,I29&amp;"",IF(N22=J30,I30&amp;"","W BWS-R3-02")))</f>
        <v>W BWS-R3-02</v>
      </c>
      <c r="N22" s="37"/>
      <c r="O22" s="4"/>
      <c r="P22" s="4"/>
      <c r="Q22" s="50" t="s">
        <v>116</v>
      </c>
      <c r="R22" s="17"/>
    </row>
    <row r="23" ht="16.5" customHeight="1">
      <c r="A23" s="29" t="s">
        <v>66</v>
      </c>
      <c r="B23" s="30" t="s">
        <v>153</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77</v>
      </c>
      <c r="B24" s="33" t="s">
        <v>132</v>
      </c>
      <c r="C24" s="34"/>
      <c r="D24" s="4"/>
      <c r="E24" s="27" t="s">
        <v>665</v>
      </c>
      <c r="F24" s="28"/>
      <c r="G24" s="4"/>
      <c r="H24" s="4"/>
      <c r="I24" s="4"/>
      <c r="J24" s="4"/>
      <c r="K24" s="34"/>
      <c r="L24" s="4"/>
      <c r="M24" s="4"/>
      <c r="N24" s="4"/>
      <c r="O24" s="4"/>
      <c r="P24" s="4"/>
      <c r="Q24" s="4"/>
      <c r="R24" s="4"/>
    </row>
    <row r="25" ht="16.5" customHeight="1">
      <c r="A25" s="4"/>
      <c r="B25" s="4"/>
      <c r="C25" s="34"/>
      <c r="D25" s="4"/>
      <c r="E25" s="35" t="s">
        <v>68</v>
      </c>
      <c r="F25" s="30" t="s">
        <v>81</v>
      </c>
      <c r="G25" s="31"/>
      <c r="H25" s="4"/>
      <c r="I25" s="4"/>
      <c r="J25" s="4"/>
      <c r="K25" s="34"/>
      <c r="L25" s="4"/>
      <c r="M25" s="57" t="s">
        <v>667</v>
      </c>
      <c r="N25" s="28"/>
      <c r="O25" s="4"/>
      <c r="P25" s="4"/>
      <c r="Q25" s="59" t="s">
        <v>121</v>
      </c>
      <c r="R25" s="17"/>
    </row>
    <row r="26" ht="16.5" customHeight="1">
      <c r="A26" s="4"/>
      <c r="B26" s="4"/>
      <c r="C26" s="4"/>
      <c r="D26" s="36"/>
      <c r="E26" s="32" t="str">
        <f>IF(F26="","W BWS-R1-03",IF(F26=B23,A23&amp;"",IF(F26=B24,A24&amp;"","W BWS-R1-03")))</f>
        <v>W BWS-R1-03</v>
      </c>
      <c r="F26" s="37"/>
      <c r="G26" s="34"/>
      <c r="H26" s="4"/>
      <c r="I26" s="4"/>
      <c r="J26" s="4"/>
      <c r="K26" s="34"/>
      <c r="L26" s="4"/>
      <c r="M26" s="29" t="str">
        <f>IF(N21="","L BWS-R3-01",IF(N21=J13,I14&amp;"",IF(N21=J14,I13&amp;"","L BWS-R3-01")))</f>
        <v>L BWS-R3-01</v>
      </c>
      <c r="N26" s="21" t="str">
        <f>IF(N21="","",IF(N21=J13,J14&amp;"",IF(N21=J14,J13&amp;"","")))</f>
        <v/>
      </c>
      <c r="O26" s="31"/>
      <c r="P26" s="31"/>
      <c r="Q26" s="60" t="str">
        <f>IF(R26="","W BWS-3P-01",IF(R26=N26,M26&amp;"",IF(R26=N27,M27&amp;"","W BWS-3P-01")))</f>
        <v>W BWS-3P-01</v>
      </c>
      <c r="R26" s="61"/>
    </row>
    <row r="27" ht="16.5" customHeight="1">
      <c r="A27" s="4"/>
      <c r="B27" s="4"/>
      <c r="C27" s="4"/>
      <c r="D27" s="4"/>
      <c r="E27" s="4"/>
      <c r="F27" s="4"/>
      <c r="G27" s="34"/>
      <c r="H27" s="4"/>
      <c r="I27" s="4"/>
      <c r="J27" s="4"/>
      <c r="K27" s="34"/>
      <c r="L27" s="4"/>
      <c r="M27" s="32" t="str">
        <f>IF(N22="","L BWS-R3-02",IF(N22=J29,I30&amp;"",IF(N22=J30,I29&amp;"","L BWS-R3-02")))</f>
        <v>L BWS-R3-02</v>
      </c>
      <c r="N27" s="62" t="str">
        <f>IF(N22="","",IF(N22=J29,J30&amp;"",IF(N22=J30,J29&amp;"","")))</f>
        <v/>
      </c>
      <c r="O27" s="4"/>
      <c r="P27" s="4"/>
      <c r="Q27" s="4"/>
      <c r="R27" s="4"/>
    </row>
    <row r="28" ht="16.5" customHeight="1">
      <c r="A28" s="4"/>
      <c r="B28" s="4"/>
      <c r="C28" s="4"/>
      <c r="D28" s="4"/>
      <c r="E28" s="4"/>
      <c r="F28" s="4"/>
      <c r="G28" s="34"/>
      <c r="H28" s="4"/>
      <c r="I28" s="27" t="s">
        <v>686</v>
      </c>
      <c r="J28" s="28"/>
      <c r="K28" s="34"/>
      <c r="L28" s="4"/>
      <c r="M28" s="4"/>
      <c r="N28" s="4"/>
      <c r="O28" s="4"/>
      <c r="P28" s="4"/>
      <c r="Q28" s="4"/>
      <c r="R28" s="4"/>
    </row>
    <row r="29" ht="16.5" customHeight="1">
      <c r="A29" s="4"/>
      <c r="B29" s="4"/>
      <c r="C29" s="4"/>
      <c r="D29" s="4"/>
      <c r="E29" s="4"/>
      <c r="F29" s="4"/>
      <c r="G29" s="4"/>
      <c r="H29" s="36"/>
      <c r="I29" s="29" t="str">
        <f>IF(J29="","W BWS-R2-03",IF(J29=F25,E25&amp;"",IF(J29=F26,E26&amp;"","W BWS-R2-03")))</f>
        <v>W BWS-R2-03</v>
      </c>
      <c r="J29" s="38"/>
      <c r="K29" s="39"/>
      <c r="L29" s="4"/>
      <c r="M29" s="4"/>
      <c r="N29" s="4"/>
      <c r="O29" s="4"/>
      <c r="P29" s="4"/>
      <c r="Q29" s="4"/>
      <c r="R29" s="4"/>
    </row>
    <row r="30" ht="16.5" customHeight="1">
      <c r="A30" s="27" t="s">
        <v>687</v>
      </c>
      <c r="B30" s="28"/>
      <c r="C30" s="4"/>
      <c r="D30" s="4"/>
      <c r="E30" s="4"/>
      <c r="F30" s="4"/>
      <c r="G30" s="34"/>
      <c r="H30" s="36"/>
      <c r="I30" s="32" t="str">
        <f>IF(J30="","W BWS-R2-04",IF(J30=F33,E33&amp;"",IF(J30=F34,E34&amp;"","W BWS-R2-04")))</f>
        <v>W BWS-R2-04</v>
      </c>
      <c r="J30" s="37"/>
      <c r="K30" s="4"/>
      <c r="L30" s="4"/>
      <c r="M30" s="4"/>
      <c r="N30" s="4"/>
      <c r="O30" s="4"/>
      <c r="P30" s="4"/>
      <c r="Q30" s="4"/>
      <c r="R30" s="4"/>
    </row>
    <row r="31" ht="16.5" customHeight="1">
      <c r="A31" s="29" t="s">
        <v>71</v>
      </c>
      <c r="B31" s="30" t="s">
        <v>688</v>
      </c>
      <c r="C31" s="31"/>
      <c r="D31" s="4"/>
      <c r="E31" s="4"/>
      <c r="F31" s="4"/>
      <c r="G31" s="34"/>
      <c r="H31" s="4"/>
      <c r="I31" s="4"/>
      <c r="J31" s="4"/>
      <c r="K31" s="4"/>
      <c r="L31" s="4"/>
      <c r="M31" s="4"/>
      <c r="N31" s="4"/>
      <c r="O31" s="4"/>
      <c r="P31" s="4"/>
      <c r="Q31" s="4"/>
      <c r="R31" s="4"/>
    </row>
    <row r="32" ht="16.5" customHeight="1">
      <c r="A32" s="32" t="s">
        <v>86</v>
      </c>
      <c r="B32" s="33" t="s">
        <v>137</v>
      </c>
      <c r="C32" s="34"/>
      <c r="D32" s="4"/>
      <c r="E32" s="27" t="s">
        <v>689</v>
      </c>
      <c r="F32" s="28"/>
      <c r="G32" s="34"/>
      <c r="H32" s="4"/>
      <c r="I32" s="4"/>
      <c r="J32" s="4"/>
      <c r="K32" s="4"/>
      <c r="L32" s="4"/>
      <c r="M32" s="4"/>
      <c r="N32" s="4"/>
      <c r="O32" s="4"/>
      <c r="P32" s="4"/>
      <c r="Q32" s="4"/>
      <c r="R32" s="4"/>
    </row>
    <row r="33" ht="16.5" customHeight="1">
      <c r="A33" s="4"/>
      <c r="B33" s="4"/>
      <c r="C33" s="34"/>
      <c r="D33" s="4"/>
      <c r="E33" s="35" t="s">
        <v>82</v>
      </c>
      <c r="F33" s="30" t="s">
        <v>127</v>
      </c>
      <c r="G33" s="39"/>
      <c r="H33" s="4"/>
      <c r="I33" s="4"/>
      <c r="J33" s="4"/>
      <c r="K33" s="4"/>
      <c r="L33" s="4"/>
      <c r="M33" s="4"/>
      <c r="N33" s="4"/>
      <c r="O33" s="4"/>
      <c r="P33" s="4"/>
      <c r="Q33" s="4"/>
      <c r="R33" s="4"/>
    </row>
    <row r="34" ht="16.5" customHeight="1">
      <c r="A34" s="4"/>
      <c r="B34" s="4"/>
      <c r="C34" s="4"/>
      <c r="D34" s="36"/>
      <c r="E34" s="32" t="str">
        <f>IF(F34="","W BWS-R1-04",IF(F34=B31,A31&amp;"",IF(F34=B32,A32&amp;"","W BWS-R1-04")))</f>
        <v>W BWS-R1-04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699</v>
      </c>
      <c r="B1" s="2"/>
      <c r="C1" s="2"/>
      <c r="D1" s="2"/>
      <c r="E1" s="2"/>
      <c r="F1" s="2"/>
      <c r="G1" s="2"/>
      <c r="H1" s="2"/>
      <c r="I1" s="2"/>
      <c r="J1" s="2"/>
      <c r="K1" s="2"/>
      <c r="L1" s="2"/>
      <c r="M1" s="2"/>
      <c r="N1" s="2"/>
      <c r="O1" s="2"/>
      <c r="P1" s="2"/>
      <c r="Q1" s="2"/>
      <c r="R1" s="2"/>
    </row>
    <row r="2">
      <c r="A2" s="3" t="s">
        <v>640</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641</v>
      </c>
      <c r="B5" s="2"/>
      <c r="C5" s="4"/>
      <c r="D5" s="4"/>
      <c r="E5" s="25" t="s">
        <v>641</v>
      </c>
      <c r="F5" s="2"/>
      <c r="G5" s="4"/>
      <c r="H5" s="4"/>
      <c r="I5" s="25" t="s">
        <v>642</v>
      </c>
      <c r="J5" s="2"/>
      <c r="K5" s="4"/>
      <c r="L5" s="4"/>
      <c r="M5" s="25" t="s">
        <v>643</v>
      </c>
      <c r="N5" s="2"/>
      <c r="O5" s="4"/>
      <c r="P5" s="4"/>
      <c r="Q5" s="26"/>
    </row>
    <row r="6" ht="16.5" customHeight="1">
      <c r="A6" s="27" t="s">
        <v>700</v>
      </c>
      <c r="B6" s="28"/>
      <c r="C6" s="4"/>
      <c r="D6" s="4"/>
      <c r="E6" s="4"/>
      <c r="F6" s="4"/>
      <c r="G6" s="4"/>
      <c r="H6" s="4"/>
      <c r="I6" s="4"/>
      <c r="J6" s="4"/>
      <c r="K6" s="4"/>
      <c r="L6" s="4"/>
      <c r="M6" s="4"/>
      <c r="N6" s="4"/>
      <c r="O6" s="4"/>
      <c r="P6" s="4"/>
      <c r="Q6" s="4"/>
      <c r="R6" s="4"/>
    </row>
    <row r="7" ht="16.5" customHeight="1">
      <c r="A7" s="29" t="s">
        <v>71</v>
      </c>
      <c r="B7" s="30" t="s">
        <v>701</v>
      </c>
      <c r="C7" s="31"/>
      <c r="D7" s="4"/>
      <c r="E7" s="4"/>
      <c r="F7" s="4"/>
      <c r="G7" s="4"/>
      <c r="H7" s="4"/>
      <c r="I7" s="4"/>
      <c r="J7" s="4"/>
      <c r="K7" s="4"/>
      <c r="L7" s="4"/>
      <c r="M7" s="4"/>
      <c r="N7" s="4"/>
      <c r="O7" s="4"/>
      <c r="P7" s="4"/>
      <c r="Q7" s="4"/>
      <c r="R7" s="4"/>
    </row>
    <row r="8" ht="16.5" customHeight="1">
      <c r="A8" s="32" t="s">
        <v>86</v>
      </c>
      <c r="B8" s="33" t="s">
        <v>702</v>
      </c>
      <c r="C8" s="34"/>
      <c r="D8" s="4"/>
      <c r="E8" s="27" t="s">
        <v>703</v>
      </c>
      <c r="F8" s="28"/>
      <c r="G8" s="4"/>
      <c r="H8" s="4"/>
      <c r="I8" s="4"/>
      <c r="J8" s="4"/>
      <c r="K8" s="4"/>
      <c r="L8" s="4"/>
      <c r="M8" s="4"/>
      <c r="N8" s="4"/>
      <c r="O8" s="4"/>
      <c r="P8" s="4"/>
      <c r="Q8" s="4"/>
      <c r="R8" s="4"/>
    </row>
    <row r="9" ht="16.5" customHeight="1">
      <c r="A9" s="4"/>
      <c r="B9" s="4"/>
      <c r="C9" s="34"/>
      <c r="D9" s="4"/>
      <c r="E9" s="35" t="s">
        <v>68</v>
      </c>
      <c r="F9" s="30" t="s">
        <v>704</v>
      </c>
      <c r="G9" s="31"/>
      <c r="H9" s="4"/>
      <c r="I9" s="4"/>
      <c r="J9" s="4"/>
      <c r="K9" s="4"/>
      <c r="L9" s="4"/>
      <c r="M9" s="4"/>
      <c r="N9" s="4"/>
      <c r="O9" s="4"/>
      <c r="P9" s="4"/>
      <c r="Q9" s="4"/>
      <c r="R9" s="4"/>
    </row>
    <row r="10" ht="16.5" customHeight="1">
      <c r="A10" s="4"/>
      <c r="B10" s="4"/>
      <c r="C10" s="4"/>
      <c r="D10" s="36"/>
      <c r="E10" s="32" t="str">
        <f>IF(F10="","W BMD-R1-01",IF(F10=B7,A7&amp;"",IF(F10=B8,A8&amp;"","W BMD-R1-01")))</f>
        <v>W BMD-R1-01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705</v>
      </c>
      <c r="J12" s="28"/>
      <c r="K12" s="4"/>
      <c r="L12" s="4"/>
      <c r="M12" s="4"/>
      <c r="N12" s="4"/>
      <c r="O12" s="4"/>
      <c r="P12" s="4"/>
      <c r="Q12" s="4"/>
      <c r="R12" s="4"/>
    </row>
    <row r="13" ht="16.5" customHeight="1">
      <c r="A13" s="4"/>
      <c r="B13" s="4"/>
      <c r="C13" s="4"/>
      <c r="D13" s="4"/>
      <c r="E13" s="4"/>
      <c r="F13" s="4"/>
      <c r="G13" s="4"/>
      <c r="H13" s="36"/>
      <c r="I13" s="29" t="str">
        <f>IF(J13="","W BMD-R2-01",IF(J13=F9,E9&amp;"",IF(J13=F10,E10&amp;"","W BMD-R2-01")))</f>
        <v>W BMD-R2-01</v>
      </c>
      <c r="J13" s="38"/>
      <c r="K13" s="31"/>
      <c r="L13" s="4"/>
      <c r="M13" s="4"/>
      <c r="N13" s="4"/>
      <c r="O13" s="4"/>
      <c r="P13" s="4"/>
      <c r="Q13" s="4"/>
      <c r="R13" s="4"/>
    </row>
    <row r="14" ht="16.5" customHeight="1">
      <c r="A14" s="27" t="s">
        <v>706</v>
      </c>
      <c r="B14" s="28"/>
      <c r="C14" s="4"/>
      <c r="D14" s="4"/>
      <c r="E14" s="4"/>
      <c r="F14" s="4"/>
      <c r="G14" s="34"/>
      <c r="H14" s="36"/>
      <c r="I14" s="32" t="str">
        <f>IF(J14="","W BMD-R2-02",IF(J14=F17,E17&amp;"",IF(J14=F18,E18&amp;"","W BMD-R2-02")))</f>
        <v>W BMD-R2-02</v>
      </c>
      <c r="J14" s="37"/>
      <c r="K14" s="34"/>
      <c r="L14" s="4"/>
      <c r="M14" s="4"/>
      <c r="N14" s="4"/>
      <c r="O14" s="4"/>
      <c r="P14" s="4"/>
      <c r="Q14" s="4"/>
      <c r="R14" s="4"/>
    </row>
    <row r="15" ht="16.5" customHeight="1">
      <c r="A15" s="29" t="s">
        <v>82</v>
      </c>
      <c r="B15" s="30" t="s">
        <v>707</v>
      </c>
      <c r="C15" s="31"/>
      <c r="D15" s="4"/>
      <c r="E15" s="4"/>
      <c r="F15" s="4"/>
      <c r="G15" s="34"/>
      <c r="H15" s="4"/>
      <c r="I15" s="4"/>
      <c r="J15" s="4"/>
      <c r="K15" s="34"/>
      <c r="L15" s="4"/>
      <c r="M15" s="4"/>
      <c r="N15" s="4"/>
      <c r="O15" s="4"/>
      <c r="P15" s="4"/>
      <c r="Q15" s="4"/>
      <c r="R15" s="4"/>
    </row>
    <row r="16" ht="16.5" customHeight="1">
      <c r="A16" s="32" t="s">
        <v>66</v>
      </c>
      <c r="B16" s="33" t="s">
        <v>708</v>
      </c>
      <c r="C16" s="34"/>
      <c r="D16" s="4"/>
      <c r="E16" s="27" t="s">
        <v>709</v>
      </c>
      <c r="F16" s="28"/>
      <c r="G16" s="34"/>
      <c r="H16" s="4"/>
      <c r="I16" s="4"/>
      <c r="J16" s="4"/>
      <c r="K16" s="34"/>
      <c r="L16" s="4"/>
      <c r="M16" s="4"/>
      <c r="N16" s="4"/>
      <c r="O16" s="4"/>
      <c r="P16" s="4"/>
      <c r="Q16" s="4"/>
      <c r="R16" s="4"/>
    </row>
    <row r="17" ht="16.5" customHeight="1">
      <c r="A17" s="4"/>
      <c r="B17" s="4"/>
      <c r="C17" s="34"/>
      <c r="D17" s="4"/>
      <c r="E17" s="35" t="s">
        <v>77</v>
      </c>
      <c r="F17" s="30" t="s">
        <v>710</v>
      </c>
      <c r="G17" s="39"/>
      <c r="H17" s="4"/>
      <c r="I17" s="4"/>
      <c r="J17" s="4"/>
      <c r="K17" s="34"/>
      <c r="L17" s="4"/>
      <c r="M17" s="4"/>
      <c r="N17" s="4"/>
      <c r="O17" s="4"/>
      <c r="P17" s="4"/>
      <c r="Q17" s="4"/>
      <c r="R17" s="4"/>
    </row>
    <row r="18" ht="16.5" customHeight="1">
      <c r="A18" s="4"/>
      <c r="B18" s="4"/>
      <c r="C18" s="4"/>
      <c r="D18" s="36"/>
      <c r="E18" s="32" t="str">
        <f>IF(F18="","W BMD-R1-02",IF(F18=B15,A15&amp;"",IF(F18=B16,A16&amp;"","W BMD-R1-02")))</f>
        <v>W BMD-R1-02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711</v>
      </c>
      <c r="N20" s="28"/>
      <c r="O20" s="4"/>
      <c r="P20" s="4"/>
      <c r="Q20" s="46" t="s">
        <v>113</v>
      </c>
      <c r="R20" s="17"/>
    </row>
    <row r="21" ht="16.5" customHeight="1">
      <c r="A21" s="4"/>
      <c r="B21" s="4"/>
      <c r="C21" s="4"/>
      <c r="D21" s="4"/>
      <c r="E21" s="4"/>
      <c r="F21" s="4"/>
      <c r="G21" s="4"/>
      <c r="H21" s="4"/>
      <c r="I21" s="4"/>
      <c r="J21" s="4"/>
      <c r="K21" s="4"/>
      <c r="L21" s="36"/>
      <c r="M21" s="29" t="str">
        <f>IF(N21="","W BMD-R3-01",IF(N21=J13,I13&amp;"",IF(N21=J14,I14&amp;"","W BMD-R3-01")))</f>
        <v>W BMD-R3-01</v>
      </c>
      <c r="N21" s="38"/>
      <c r="O21" s="31"/>
      <c r="P21" s="31"/>
      <c r="Q21" s="48" t="str">
        <f>IF(R21="","W BMD-R4-01",IF(R21=N21,M21&amp;"",IF(R21=N22,M22&amp;"","W BMD-R4-01")))</f>
        <v>W BMD-R4-01</v>
      </c>
      <c r="R21" s="49"/>
    </row>
    <row r="22" ht="16.5" customHeight="1">
      <c r="A22" s="27" t="s">
        <v>712</v>
      </c>
      <c r="B22" s="28"/>
      <c r="C22" s="4"/>
      <c r="D22" s="4"/>
      <c r="E22" s="4"/>
      <c r="F22" s="4"/>
      <c r="G22" s="4"/>
      <c r="H22" s="4"/>
      <c r="I22" s="4"/>
      <c r="J22" s="4"/>
      <c r="K22" s="34"/>
      <c r="L22" s="36"/>
      <c r="M22" s="32" t="str">
        <f>IF(N22="","W BMD-R3-02",IF(N22=J29,I29&amp;"",IF(N22=J30,I30&amp;"","W BMD-R3-02")))</f>
        <v>W BMD-R3-02</v>
      </c>
      <c r="N22" s="37"/>
      <c r="O22" s="4"/>
      <c r="P22" s="4"/>
      <c r="Q22" s="50" t="s">
        <v>116</v>
      </c>
      <c r="R22" s="17"/>
    </row>
    <row r="23" ht="16.5" customHeight="1">
      <c r="A23" s="29" t="s">
        <v>71</v>
      </c>
      <c r="B23" s="30" t="s">
        <v>713</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77</v>
      </c>
      <c r="B24" s="33" t="s">
        <v>714</v>
      </c>
      <c r="C24" s="34"/>
      <c r="D24" s="4"/>
      <c r="E24" s="27" t="s">
        <v>715</v>
      </c>
      <c r="F24" s="28"/>
      <c r="G24" s="4"/>
      <c r="H24" s="4"/>
      <c r="I24" s="4"/>
      <c r="J24" s="4"/>
      <c r="K24" s="34"/>
      <c r="L24" s="4"/>
      <c r="M24" s="4"/>
      <c r="N24" s="4"/>
      <c r="O24" s="4"/>
      <c r="P24" s="4"/>
      <c r="Q24" s="4"/>
      <c r="R24" s="4"/>
    </row>
    <row r="25" ht="16.5" customHeight="1">
      <c r="A25" s="4"/>
      <c r="B25" s="4"/>
      <c r="C25" s="34"/>
      <c r="D25" s="4"/>
      <c r="E25" s="35" t="s">
        <v>86</v>
      </c>
      <c r="F25" s="30" t="s">
        <v>716</v>
      </c>
      <c r="G25" s="31"/>
      <c r="H25" s="4"/>
      <c r="I25" s="4"/>
      <c r="J25" s="4"/>
      <c r="K25" s="34"/>
      <c r="L25" s="4"/>
      <c r="M25" s="57" t="s">
        <v>717</v>
      </c>
      <c r="N25" s="28"/>
      <c r="O25" s="4"/>
      <c r="P25" s="4"/>
      <c r="Q25" s="59" t="s">
        <v>121</v>
      </c>
      <c r="R25" s="17"/>
    </row>
    <row r="26" ht="16.5" customHeight="1">
      <c r="A26" s="4"/>
      <c r="B26" s="4"/>
      <c r="C26" s="4"/>
      <c r="D26" s="36"/>
      <c r="E26" s="32" t="str">
        <f>IF(F26="","W BMD-R1-03",IF(F26=B23,A23&amp;"",IF(F26=B24,A24&amp;"","W BMD-R1-03")))</f>
        <v>W BMD-R1-03</v>
      </c>
      <c r="F26" s="37"/>
      <c r="G26" s="34"/>
      <c r="H26" s="4"/>
      <c r="I26" s="4"/>
      <c r="J26" s="4"/>
      <c r="K26" s="34"/>
      <c r="L26" s="4"/>
      <c r="M26" s="29" t="str">
        <f>IF(N21="","L BMD-R3-01",IF(N21=J13,I14&amp;"",IF(N21=J14,I13&amp;"","L BMD-R3-01")))</f>
        <v>L BMD-R3-01</v>
      </c>
      <c r="N26" s="21" t="str">
        <f>IF(N21="","",IF(N21=J13,J14&amp;"",IF(N21=J14,J13&amp;"","")))</f>
        <v/>
      </c>
      <c r="O26" s="31"/>
      <c r="P26" s="31"/>
      <c r="Q26" s="60" t="str">
        <f>IF(R26="","W BMD-3P-01",IF(R26=N26,M26&amp;"",IF(R26=N27,M27&amp;"","W BMD-3P-01")))</f>
        <v>W BMD-3P-01</v>
      </c>
      <c r="R26" s="61"/>
    </row>
    <row r="27" ht="16.5" customHeight="1">
      <c r="A27" s="4"/>
      <c r="B27" s="4"/>
      <c r="C27" s="4"/>
      <c r="D27" s="4"/>
      <c r="E27" s="4"/>
      <c r="F27" s="4"/>
      <c r="G27" s="34"/>
      <c r="H27" s="4"/>
      <c r="I27" s="4"/>
      <c r="J27" s="4"/>
      <c r="K27" s="34"/>
      <c r="L27" s="4"/>
      <c r="M27" s="32" t="str">
        <f>IF(N22="","L BMD-R3-02",IF(N22=J29,I30&amp;"",IF(N22=J30,I29&amp;"","L BMD-R3-02")))</f>
        <v>L BMD-R3-02</v>
      </c>
      <c r="N27" s="62" t="str">
        <f>IF(N22="","",IF(N22=J29,J30&amp;"",IF(N22=J30,J29&amp;"","")))</f>
        <v/>
      </c>
      <c r="O27" s="4"/>
      <c r="P27" s="4"/>
      <c r="Q27" s="4"/>
      <c r="R27" s="4"/>
    </row>
    <row r="28" ht="16.5" customHeight="1">
      <c r="A28" s="4"/>
      <c r="B28" s="4"/>
      <c r="C28" s="4"/>
      <c r="D28" s="4"/>
      <c r="E28" s="4"/>
      <c r="F28" s="4"/>
      <c r="G28" s="34"/>
      <c r="H28" s="4"/>
      <c r="I28" s="27" t="s">
        <v>718</v>
      </c>
      <c r="J28" s="28"/>
      <c r="K28" s="34"/>
      <c r="L28" s="4"/>
      <c r="M28" s="4"/>
      <c r="N28" s="4"/>
      <c r="O28" s="4"/>
      <c r="P28" s="4"/>
      <c r="Q28" s="4"/>
      <c r="R28" s="4"/>
    </row>
    <row r="29" ht="16.5" customHeight="1">
      <c r="A29" s="4"/>
      <c r="B29" s="4"/>
      <c r="C29" s="4"/>
      <c r="D29" s="4"/>
      <c r="E29" s="4"/>
      <c r="F29" s="4"/>
      <c r="G29" s="4"/>
      <c r="H29" s="36"/>
      <c r="I29" s="29" t="str">
        <f>IF(J29="","W BMD-R2-03",IF(J29=F25,E25&amp;"",IF(J29=F26,E26&amp;"","W BMD-R2-03")))</f>
        <v>W BMD-R2-03</v>
      </c>
      <c r="J29" s="38"/>
      <c r="K29" s="39"/>
      <c r="L29" s="4"/>
      <c r="M29" s="4"/>
      <c r="N29" s="4"/>
      <c r="O29" s="4"/>
      <c r="P29" s="4"/>
      <c r="Q29" s="4"/>
      <c r="R29" s="4"/>
    </row>
    <row r="30" ht="16.5" customHeight="1">
      <c r="A30" s="27" t="s">
        <v>719</v>
      </c>
      <c r="B30" s="28"/>
      <c r="C30" s="4"/>
      <c r="D30" s="4"/>
      <c r="E30" s="4"/>
      <c r="F30" s="4"/>
      <c r="G30" s="34"/>
      <c r="H30" s="36"/>
      <c r="I30" s="32" t="str">
        <f>IF(J30="","W BMD-R2-04",IF(J30=F33,E33&amp;"",IF(J30=F34,E34&amp;"","W BMD-R2-04")))</f>
        <v>W BMD-R2-04</v>
      </c>
      <c r="J30" s="37"/>
      <c r="K30" s="4"/>
      <c r="L30" s="4"/>
      <c r="M30" s="4"/>
      <c r="N30" s="4"/>
      <c r="O30" s="4"/>
      <c r="P30" s="4"/>
      <c r="Q30" s="4"/>
      <c r="R30" s="4"/>
    </row>
    <row r="31" ht="16.5" customHeight="1">
      <c r="A31" s="29" t="s">
        <v>66</v>
      </c>
      <c r="B31" s="30" t="s">
        <v>720</v>
      </c>
      <c r="C31" s="31"/>
      <c r="D31" s="4"/>
      <c r="E31" s="4"/>
      <c r="F31" s="4"/>
      <c r="G31" s="34"/>
      <c r="H31" s="4"/>
      <c r="I31" s="4"/>
      <c r="J31" s="4"/>
      <c r="K31" s="4"/>
      <c r="L31" s="4"/>
      <c r="M31" s="4"/>
      <c r="N31" s="4"/>
      <c r="O31" s="4"/>
      <c r="P31" s="4"/>
      <c r="Q31" s="4"/>
      <c r="R31" s="4"/>
    </row>
    <row r="32" ht="16.5" customHeight="1">
      <c r="A32" s="32" t="s">
        <v>82</v>
      </c>
      <c r="B32" s="33" t="s">
        <v>721</v>
      </c>
      <c r="C32" s="34"/>
      <c r="D32" s="4"/>
      <c r="E32" s="27" t="s">
        <v>722</v>
      </c>
      <c r="F32" s="28"/>
      <c r="G32" s="34"/>
      <c r="H32" s="4"/>
      <c r="I32" s="4"/>
      <c r="J32" s="4"/>
      <c r="K32" s="4"/>
      <c r="L32" s="4"/>
      <c r="M32" s="4"/>
      <c r="N32" s="4"/>
      <c r="O32" s="4"/>
      <c r="P32" s="4"/>
      <c r="Q32" s="4"/>
      <c r="R32" s="4"/>
    </row>
    <row r="33" ht="16.5" customHeight="1">
      <c r="A33" s="4"/>
      <c r="B33" s="4"/>
      <c r="C33" s="34"/>
      <c r="D33" s="4"/>
      <c r="E33" s="35" t="s">
        <v>68</v>
      </c>
      <c r="F33" s="30" t="s">
        <v>723</v>
      </c>
      <c r="G33" s="39"/>
      <c r="H33" s="4"/>
      <c r="I33" s="4"/>
      <c r="J33" s="4"/>
      <c r="K33" s="4"/>
      <c r="L33" s="4"/>
      <c r="M33" s="4"/>
      <c r="N33" s="4"/>
      <c r="O33" s="4"/>
      <c r="P33" s="4"/>
      <c r="Q33" s="4"/>
      <c r="R33" s="4"/>
    </row>
    <row r="34" ht="16.5" customHeight="1">
      <c r="A34" s="4"/>
      <c r="B34" s="4"/>
      <c r="C34" s="4"/>
      <c r="D34" s="36"/>
      <c r="E34" s="32" t="str">
        <f>IF(F34="","W BMD-R1-04",IF(F34=B31,A31&amp;"",IF(F34=B32,A32&amp;"","W BMD-R1-04")))</f>
        <v>W BMD-R1-04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724</v>
      </c>
      <c r="B1" s="2"/>
      <c r="C1" s="2"/>
      <c r="D1" s="2"/>
      <c r="E1" s="2"/>
      <c r="F1" s="2"/>
      <c r="G1" s="2"/>
      <c r="H1" s="2"/>
      <c r="I1" s="2"/>
      <c r="J1" s="2"/>
      <c r="K1" s="2"/>
      <c r="L1" s="2"/>
      <c r="M1" s="2"/>
      <c r="N1" s="2"/>
      <c r="O1" s="2"/>
      <c r="P1" s="2"/>
      <c r="Q1" s="2"/>
      <c r="R1" s="2"/>
    </row>
    <row r="2">
      <c r="A2" s="3" t="s">
        <v>640</v>
      </c>
    </row>
    <row r="3">
      <c r="A3" s="4"/>
      <c r="B3" s="4"/>
      <c r="C3" s="4"/>
      <c r="D3" s="4"/>
      <c r="E3" s="4"/>
      <c r="F3" s="4"/>
      <c r="G3" s="4"/>
      <c r="H3" s="4"/>
      <c r="I3" s="4"/>
      <c r="J3" s="4"/>
      <c r="K3" s="4"/>
      <c r="L3" s="4"/>
      <c r="M3" s="4"/>
      <c r="N3" s="4"/>
      <c r="O3" s="4"/>
      <c r="P3" s="4"/>
      <c r="Q3" s="4"/>
      <c r="R3" s="4"/>
    </row>
    <row r="4" ht="19.5" customHeight="1">
      <c r="A4" s="22" t="s">
        <v>50</v>
      </c>
      <c r="B4" s="2"/>
      <c r="C4" s="4"/>
      <c r="D4" s="4"/>
      <c r="E4" s="22" t="s">
        <v>58</v>
      </c>
      <c r="F4" s="2"/>
      <c r="G4" s="4"/>
      <c r="H4" s="4"/>
      <c r="I4" s="22" t="s">
        <v>59</v>
      </c>
      <c r="J4" s="2"/>
      <c r="K4" s="4"/>
      <c r="L4" s="4"/>
      <c r="M4" s="22" t="s">
        <v>8</v>
      </c>
      <c r="N4" s="2"/>
      <c r="O4" s="4"/>
      <c r="P4" s="4"/>
      <c r="Q4" s="23" t="s">
        <v>9</v>
      </c>
      <c r="R4" s="24"/>
    </row>
    <row r="5">
      <c r="A5" s="25" t="s">
        <v>641</v>
      </c>
      <c r="B5" s="2"/>
      <c r="C5" s="4"/>
      <c r="D5" s="4"/>
      <c r="E5" s="25" t="s">
        <v>641</v>
      </c>
      <c r="F5" s="2"/>
      <c r="G5" s="4"/>
      <c r="H5" s="4"/>
      <c r="I5" s="25" t="s">
        <v>642</v>
      </c>
      <c r="J5" s="2"/>
      <c r="K5" s="4"/>
      <c r="L5" s="4"/>
      <c r="M5" s="25" t="s">
        <v>643</v>
      </c>
      <c r="N5" s="2"/>
      <c r="O5" s="4"/>
      <c r="P5" s="4"/>
      <c r="Q5" s="26"/>
    </row>
    <row r="6" ht="16.5" customHeight="1">
      <c r="A6" s="27" t="s">
        <v>725</v>
      </c>
      <c r="B6" s="28"/>
      <c r="C6" s="4"/>
      <c r="D6" s="4"/>
      <c r="E6" s="4"/>
      <c r="F6" s="4"/>
      <c r="G6" s="4"/>
      <c r="H6" s="4"/>
      <c r="I6" s="4"/>
      <c r="J6" s="4"/>
      <c r="K6" s="4"/>
      <c r="L6" s="4"/>
      <c r="M6" s="4"/>
      <c r="N6" s="4"/>
      <c r="O6" s="4"/>
      <c r="P6" s="4"/>
      <c r="Q6" s="4"/>
      <c r="R6" s="4"/>
    </row>
    <row r="7" ht="16.5" customHeight="1">
      <c r="A7" s="29" t="s">
        <v>77</v>
      </c>
      <c r="B7" s="30" t="s">
        <v>726</v>
      </c>
      <c r="C7" s="31"/>
      <c r="D7" s="4"/>
      <c r="E7" s="4"/>
      <c r="F7" s="4"/>
      <c r="G7" s="4"/>
      <c r="H7" s="4"/>
      <c r="I7" s="4"/>
      <c r="J7" s="4"/>
      <c r="K7" s="4"/>
      <c r="L7" s="4"/>
      <c r="M7" s="4"/>
      <c r="N7" s="4"/>
      <c r="O7" s="4"/>
      <c r="P7" s="4"/>
      <c r="Q7" s="4"/>
      <c r="R7" s="4"/>
    </row>
    <row r="8" ht="16.5" customHeight="1">
      <c r="A8" s="32" t="s">
        <v>82</v>
      </c>
      <c r="B8" s="33" t="s">
        <v>727</v>
      </c>
      <c r="C8" s="34"/>
      <c r="D8" s="4"/>
      <c r="E8" s="27" t="s">
        <v>728</v>
      </c>
      <c r="F8" s="28"/>
      <c r="G8" s="4"/>
      <c r="H8" s="4"/>
      <c r="I8" s="4"/>
      <c r="J8" s="4"/>
      <c r="K8" s="4"/>
      <c r="L8" s="4"/>
      <c r="M8" s="4"/>
      <c r="N8" s="4"/>
      <c r="O8" s="4"/>
      <c r="P8" s="4"/>
      <c r="Q8" s="4"/>
      <c r="R8" s="4"/>
    </row>
    <row r="9" ht="16.5" customHeight="1">
      <c r="A9" s="4"/>
      <c r="B9" s="4"/>
      <c r="C9" s="34"/>
      <c r="D9" s="4"/>
      <c r="E9" s="35" t="s">
        <v>66</v>
      </c>
      <c r="F9" s="30" t="s">
        <v>730</v>
      </c>
      <c r="G9" s="31"/>
      <c r="H9" s="4"/>
      <c r="I9" s="4"/>
      <c r="J9" s="4"/>
      <c r="K9" s="4"/>
      <c r="L9" s="4"/>
      <c r="M9" s="4"/>
      <c r="N9" s="4"/>
      <c r="O9" s="4"/>
      <c r="P9" s="4"/>
      <c r="Q9" s="4"/>
      <c r="R9" s="4"/>
    </row>
    <row r="10" ht="16.5" customHeight="1">
      <c r="A10" s="4"/>
      <c r="B10" s="4"/>
      <c r="C10" s="4"/>
      <c r="D10" s="36"/>
      <c r="E10" s="32" t="str">
        <f>IF(F10="","W BWD-R1-01",IF(F10=B7,A7&amp;"",IF(F10=B8,A8&amp;"","W BWD-R1-01")))</f>
        <v>W BWD-R1-01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733</v>
      </c>
      <c r="J12" s="28"/>
      <c r="K12" s="4"/>
      <c r="L12" s="4"/>
      <c r="M12" s="4"/>
      <c r="N12" s="4"/>
      <c r="O12" s="4"/>
      <c r="P12" s="4"/>
      <c r="Q12" s="4"/>
      <c r="R12" s="4"/>
    </row>
    <row r="13" ht="16.5" customHeight="1">
      <c r="A13" s="4"/>
      <c r="B13" s="4"/>
      <c r="C13" s="4"/>
      <c r="D13" s="4"/>
      <c r="E13" s="4"/>
      <c r="F13" s="4"/>
      <c r="G13" s="4"/>
      <c r="H13" s="36"/>
      <c r="I13" s="29" t="str">
        <f>IF(J13="","W BWD-R2-01",IF(J13=F9,E9&amp;"",IF(J13=F10,E10&amp;"","W BWD-R2-01")))</f>
        <v>W BWD-R2-01</v>
      </c>
      <c r="J13" s="38"/>
      <c r="K13" s="31"/>
      <c r="L13" s="4"/>
      <c r="M13" s="4"/>
      <c r="N13" s="4"/>
      <c r="O13" s="4"/>
      <c r="P13" s="4"/>
      <c r="Q13" s="4"/>
      <c r="R13" s="4"/>
    </row>
    <row r="14" ht="16.5" customHeight="1">
      <c r="A14" s="27" t="s">
        <v>736</v>
      </c>
      <c r="B14" s="28"/>
      <c r="C14" s="4"/>
      <c r="D14" s="4"/>
      <c r="E14" s="4"/>
      <c r="F14" s="4"/>
      <c r="G14" s="34"/>
      <c r="H14" s="36"/>
      <c r="I14" s="32" t="str">
        <f>IF(J14="","W BWD-R2-02",IF(J14=F17,E17&amp;"",IF(J14=F18,E18&amp;"","W BWD-R2-02")))</f>
        <v>W BWD-R2-02</v>
      </c>
      <c r="J14" s="37"/>
      <c r="K14" s="34"/>
      <c r="L14" s="4"/>
      <c r="M14" s="4"/>
      <c r="N14" s="4"/>
      <c r="O14" s="4"/>
      <c r="P14" s="4"/>
      <c r="Q14" s="4"/>
      <c r="R14" s="4"/>
    </row>
    <row r="15" ht="16.5" customHeight="1">
      <c r="A15" s="29" t="s">
        <v>68</v>
      </c>
      <c r="B15" s="30" t="s">
        <v>637</v>
      </c>
      <c r="C15" s="31"/>
      <c r="D15" s="4"/>
      <c r="E15" s="4"/>
      <c r="F15" s="4"/>
      <c r="G15" s="34"/>
      <c r="H15" s="4"/>
      <c r="I15" s="4"/>
      <c r="J15" s="4"/>
      <c r="K15" s="34"/>
      <c r="L15" s="4"/>
      <c r="M15" s="4"/>
      <c r="N15" s="4"/>
      <c r="O15" s="4"/>
      <c r="P15" s="4"/>
      <c r="Q15" s="4"/>
      <c r="R15" s="4"/>
    </row>
    <row r="16" ht="16.5" customHeight="1">
      <c r="A16" s="32" t="s">
        <v>86</v>
      </c>
      <c r="B16" s="33" t="s">
        <v>633</v>
      </c>
      <c r="C16" s="34"/>
      <c r="D16" s="4"/>
      <c r="E16" s="27" t="s">
        <v>739</v>
      </c>
      <c r="F16" s="28"/>
      <c r="G16" s="34"/>
      <c r="H16" s="4"/>
      <c r="I16" s="4"/>
      <c r="J16" s="4"/>
      <c r="K16" s="34"/>
      <c r="L16" s="4"/>
      <c r="M16" s="4"/>
      <c r="N16" s="4"/>
      <c r="O16" s="4"/>
      <c r="P16" s="4"/>
      <c r="Q16" s="4"/>
      <c r="R16" s="4"/>
    </row>
    <row r="17" ht="16.5" customHeight="1">
      <c r="A17" s="4"/>
      <c r="B17" s="4"/>
      <c r="C17" s="34"/>
      <c r="D17" s="4"/>
      <c r="E17" s="35" t="s">
        <v>71</v>
      </c>
      <c r="F17" s="30" t="s">
        <v>743</v>
      </c>
      <c r="G17" s="39"/>
      <c r="H17" s="4"/>
      <c r="I17" s="4"/>
      <c r="J17" s="4"/>
      <c r="K17" s="34"/>
      <c r="L17" s="4"/>
      <c r="M17" s="4"/>
      <c r="N17" s="4"/>
      <c r="O17" s="4"/>
      <c r="P17" s="4"/>
      <c r="Q17" s="4"/>
      <c r="R17" s="4"/>
    </row>
    <row r="18" ht="16.5" customHeight="1">
      <c r="A18" s="4"/>
      <c r="B18" s="4"/>
      <c r="C18" s="4"/>
      <c r="D18" s="36"/>
      <c r="E18" s="32" t="str">
        <f>IF(F18="","W BWD-R1-02",IF(F18=B15,A15&amp;"",IF(F18=B16,A16&amp;"","W BWD-R1-02")))</f>
        <v>W BWD-R1-02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744</v>
      </c>
      <c r="N20" s="28"/>
      <c r="O20" s="4"/>
      <c r="P20" s="4"/>
      <c r="Q20" s="46" t="s">
        <v>113</v>
      </c>
      <c r="R20" s="17"/>
    </row>
    <row r="21" ht="16.5" customHeight="1">
      <c r="A21" s="4"/>
      <c r="B21" s="4"/>
      <c r="C21" s="4"/>
      <c r="D21" s="4"/>
      <c r="E21" s="4"/>
      <c r="F21" s="4"/>
      <c r="G21" s="4"/>
      <c r="H21" s="4"/>
      <c r="I21" s="4"/>
      <c r="J21" s="4"/>
      <c r="K21" s="4"/>
      <c r="L21" s="36"/>
      <c r="M21" s="29" t="str">
        <f>IF(N21="","W BWD-R3-01",IF(N21=J13,I13&amp;"",IF(N21=J14,I14&amp;"","W BWD-R3-01")))</f>
        <v>W BWD-R3-01</v>
      </c>
      <c r="N21" s="38"/>
      <c r="O21" s="31"/>
      <c r="P21" s="31"/>
      <c r="Q21" s="48" t="str">
        <f>IF(R21="","W BWD-R4-01",IF(R21=N21,M21&amp;"",IF(R21=N22,M22&amp;"","W BWD-R4-01")))</f>
        <v>W BWD-R4-01</v>
      </c>
      <c r="R21" s="49"/>
    </row>
    <row r="22" ht="16.5" customHeight="1">
      <c r="A22" s="27" t="s">
        <v>745</v>
      </c>
      <c r="B22" s="28"/>
      <c r="C22" s="4"/>
      <c r="D22" s="4"/>
      <c r="E22" s="4"/>
      <c r="F22" s="4"/>
      <c r="G22" s="4"/>
      <c r="H22" s="4"/>
      <c r="I22" s="4"/>
      <c r="J22" s="4"/>
      <c r="K22" s="34"/>
      <c r="L22" s="36"/>
      <c r="M22" s="32" t="str">
        <f>IF(N22="","W BWD-R3-02",IF(N22=J29,I29&amp;"",IF(N22=J30,I30&amp;"","W BWD-R3-02")))</f>
        <v>W BWD-R3-02</v>
      </c>
      <c r="N22" s="37"/>
      <c r="O22" s="4"/>
      <c r="P22" s="4"/>
      <c r="Q22" s="50" t="s">
        <v>116</v>
      </c>
      <c r="R22" s="17"/>
    </row>
    <row r="23" ht="16.5" customHeight="1">
      <c r="A23" s="29" t="s">
        <v>77</v>
      </c>
      <c r="B23" s="30" t="s">
        <v>751</v>
      </c>
      <c r="C23" s="31"/>
      <c r="D23" s="4"/>
      <c r="E23" s="4"/>
      <c r="F23" s="4"/>
      <c r="G23" s="4"/>
      <c r="H23" s="4"/>
      <c r="I23" s="4"/>
      <c r="J23" s="4"/>
      <c r="K23" s="34"/>
      <c r="L23" s="4"/>
      <c r="M23" s="4"/>
      <c r="N23" s="4"/>
      <c r="O23" s="4"/>
      <c r="P23" s="4"/>
      <c r="Q23" s="55" t="str">
        <f>IF(R21="","L final",IF(R21=N21,M22&amp;"",IF(R21=N22,M21&amp;"","L final")))</f>
        <v>L final</v>
      </c>
      <c r="R23" s="56" t="str">
        <f>IF(R21="","",IF(R21=N21,N22&amp;"",IF(R21=N22,N21&amp;"","")))</f>
        <v/>
      </c>
    </row>
    <row r="24" ht="16.5" customHeight="1">
      <c r="A24" s="32" t="s">
        <v>68</v>
      </c>
      <c r="B24" s="33" t="s">
        <v>752</v>
      </c>
      <c r="C24" s="34"/>
      <c r="D24" s="4"/>
      <c r="E24" s="27" t="s">
        <v>753</v>
      </c>
      <c r="F24" s="28"/>
      <c r="G24" s="4"/>
      <c r="H24" s="4"/>
      <c r="I24" s="4"/>
      <c r="J24" s="4"/>
      <c r="K24" s="34"/>
      <c r="L24" s="4"/>
      <c r="M24" s="4"/>
      <c r="N24" s="4"/>
      <c r="O24" s="4"/>
      <c r="P24" s="4"/>
      <c r="Q24" s="4"/>
      <c r="R24" s="4"/>
    </row>
    <row r="25" ht="16.5" customHeight="1">
      <c r="A25" s="4"/>
      <c r="B25" s="4"/>
      <c r="C25" s="34"/>
      <c r="D25" s="4"/>
      <c r="E25" s="35" t="s">
        <v>82</v>
      </c>
      <c r="F25" s="30" t="s">
        <v>754</v>
      </c>
      <c r="G25" s="31"/>
      <c r="H25" s="4"/>
      <c r="I25" s="4"/>
      <c r="J25" s="4"/>
      <c r="K25" s="34"/>
      <c r="L25" s="4"/>
      <c r="M25" s="57" t="s">
        <v>755</v>
      </c>
      <c r="N25" s="28"/>
      <c r="O25" s="4"/>
      <c r="P25" s="4"/>
      <c r="Q25" s="59" t="s">
        <v>121</v>
      </c>
      <c r="R25" s="17"/>
    </row>
    <row r="26" ht="16.5" customHeight="1">
      <c r="A26" s="4"/>
      <c r="B26" s="4"/>
      <c r="C26" s="4"/>
      <c r="D26" s="36"/>
      <c r="E26" s="32" t="str">
        <f>IF(F26="","W BWD-R1-03",IF(F26=B23,A23&amp;"",IF(F26=B24,A24&amp;"","W BWD-R1-03")))</f>
        <v>W BWD-R1-03</v>
      </c>
      <c r="F26" s="37"/>
      <c r="G26" s="34"/>
      <c r="H26" s="4"/>
      <c r="I26" s="4"/>
      <c r="J26" s="4"/>
      <c r="K26" s="34"/>
      <c r="L26" s="4"/>
      <c r="M26" s="29" t="str">
        <f>IF(N21="","L BWD-R3-01",IF(N21=J13,I14&amp;"",IF(N21=J14,I13&amp;"","L BWD-R3-01")))</f>
        <v>L BWD-R3-01</v>
      </c>
      <c r="N26" s="21" t="str">
        <f>IF(N21="","",IF(N21=J13,J14&amp;"",IF(N21=J14,J13&amp;"","")))</f>
        <v/>
      </c>
      <c r="O26" s="31"/>
      <c r="P26" s="31"/>
      <c r="Q26" s="60" t="str">
        <f>IF(R26="","W BWD-3P-01",IF(R26=N26,M26&amp;"",IF(R26=N27,M27&amp;"","W BWD-3P-01")))</f>
        <v>W BWD-3P-01</v>
      </c>
      <c r="R26" s="61"/>
    </row>
    <row r="27" ht="16.5" customHeight="1">
      <c r="A27" s="4"/>
      <c r="B27" s="4"/>
      <c r="C27" s="4"/>
      <c r="D27" s="4"/>
      <c r="E27" s="4"/>
      <c r="F27" s="4"/>
      <c r="G27" s="34"/>
      <c r="H27" s="4"/>
      <c r="I27" s="4"/>
      <c r="J27" s="4"/>
      <c r="K27" s="34"/>
      <c r="L27" s="4"/>
      <c r="M27" s="32" t="str">
        <f>IF(N22="","L BWD-R3-02",IF(N22=J29,I30&amp;"",IF(N22=J30,I29&amp;"","L BWD-R3-02")))</f>
        <v>L BWD-R3-02</v>
      </c>
      <c r="N27" s="62" t="str">
        <f>IF(N22="","",IF(N22=J29,J30&amp;"",IF(N22=J30,J29&amp;"","")))</f>
        <v/>
      </c>
      <c r="O27" s="4"/>
      <c r="P27" s="4"/>
      <c r="Q27" s="4"/>
      <c r="R27" s="4"/>
    </row>
    <row r="28" ht="16.5" customHeight="1">
      <c r="A28" s="4"/>
      <c r="B28" s="4"/>
      <c r="C28" s="4"/>
      <c r="D28" s="4"/>
      <c r="E28" s="4"/>
      <c r="F28" s="4"/>
      <c r="G28" s="34"/>
      <c r="H28" s="4"/>
      <c r="I28" s="27" t="s">
        <v>756</v>
      </c>
      <c r="J28" s="28"/>
      <c r="K28" s="34"/>
      <c r="L28" s="4"/>
      <c r="M28" s="4"/>
      <c r="N28" s="4"/>
      <c r="O28" s="4"/>
      <c r="P28" s="4"/>
      <c r="Q28" s="4"/>
      <c r="R28" s="4"/>
    </row>
    <row r="29" ht="16.5" customHeight="1">
      <c r="A29" s="4"/>
      <c r="B29" s="4"/>
      <c r="C29" s="4"/>
      <c r="D29" s="4"/>
      <c r="E29" s="4"/>
      <c r="F29" s="4"/>
      <c r="G29" s="4"/>
      <c r="H29" s="36"/>
      <c r="I29" s="29" t="str">
        <f>IF(J29="","W BWD-R2-03",IF(J29=F25,E25&amp;"",IF(J29=F26,E26&amp;"","W BWD-R2-03")))</f>
        <v>W BWD-R2-03</v>
      </c>
      <c r="J29" s="38"/>
      <c r="K29" s="39"/>
      <c r="L29" s="4"/>
      <c r="M29" s="4"/>
      <c r="N29" s="4"/>
      <c r="O29" s="4"/>
      <c r="P29" s="4"/>
      <c r="Q29" s="4"/>
      <c r="R29" s="4"/>
    </row>
    <row r="30" ht="16.5" customHeight="1">
      <c r="A30" s="27" t="s">
        <v>757</v>
      </c>
      <c r="B30" s="28"/>
      <c r="C30" s="4"/>
      <c r="D30" s="4"/>
      <c r="E30" s="4"/>
      <c r="F30" s="4"/>
      <c r="G30" s="34"/>
      <c r="H30" s="36"/>
      <c r="I30" s="32" t="str">
        <f>IF(J30="","W BWD-R2-04",IF(J30=F33,E33&amp;"",IF(J30=F34,E34&amp;"","W BWD-R2-04")))</f>
        <v>W BWD-R2-04</v>
      </c>
      <c r="J30" s="37"/>
      <c r="K30" s="4"/>
      <c r="L30" s="4"/>
      <c r="M30" s="4"/>
      <c r="N30" s="4"/>
      <c r="O30" s="4"/>
      <c r="P30" s="4"/>
      <c r="Q30" s="4"/>
      <c r="R30" s="4"/>
    </row>
    <row r="31" ht="16.5" customHeight="1">
      <c r="A31" s="29" t="s">
        <v>71</v>
      </c>
      <c r="B31" s="30" t="s">
        <v>758</v>
      </c>
      <c r="C31" s="31"/>
      <c r="D31" s="4"/>
      <c r="E31" s="4"/>
      <c r="F31" s="4"/>
      <c r="G31" s="34"/>
      <c r="H31" s="4"/>
      <c r="I31" s="4"/>
      <c r="J31" s="4"/>
      <c r="K31" s="4"/>
      <c r="L31" s="4"/>
      <c r="M31" s="4"/>
      <c r="N31" s="4"/>
      <c r="O31" s="4"/>
      <c r="P31" s="4"/>
      <c r="Q31" s="4"/>
      <c r="R31" s="4"/>
    </row>
    <row r="32" ht="16.5" customHeight="1">
      <c r="A32" s="32" t="s">
        <v>66</v>
      </c>
      <c r="B32" s="33" t="s">
        <v>759</v>
      </c>
      <c r="C32" s="34"/>
      <c r="D32" s="4"/>
      <c r="E32" s="27" t="s">
        <v>760</v>
      </c>
      <c r="F32" s="28"/>
      <c r="G32" s="34"/>
      <c r="H32" s="4"/>
      <c r="I32" s="4"/>
      <c r="J32" s="4"/>
      <c r="K32" s="4"/>
      <c r="L32" s="4"/>
      <c r="M32" s="4"/>
      <c r="N32" s="4"/>
      <c r="O32" s="4"/>
      <c r="P32" s="4"/>
      <c r="Q32" s="4"/>
      <c r="R32" s="4"/>
    </row>
    <row r="33" ht="16.5" customHeight="1">
      <c r="A33" s="4"/>
      <c r="B33" s="4"/>
      <c r="C33" s="34"/>
      <c r="D33" s="4"/>
      <c r="E33" s="35" t="s">
        <v>86</v>
      </c>
      <c r="F33" s="30" t="s">
        <v>761</v>
      </c>
      <c r="G33" s="39"/>
      <c r="H33" s="4"/>
      <c r="I33" s="4"/>
      <c r="J33" s="4"/>
      <c r="K33" s="4"/>
      <c r="L33" s="4"/>
      <c r="M33" s="4"/>
      <c r="N33" s="4"/>
      <c r="O33" s="4"/>
      <c r="P33" s="4"/>
      <c r="Q33" s="4"/>
      <c r="R33" s="4"/>
    </row>
    <row r="34" ht="16.5" customHeight="1">
      <c r="A34" s="4"/>
      <c r="B34" s="4"/>
      <c r="C34" s="4"/>
      <c r="D34" s="36"/>
      <c r="E34" s="32" t="str">
        <f>IF(F34="","W BWD-R1-04",IF(F34=B31,A31&amp;"",IF(F34=B32,A32&amp;"","W BWD-R1-04")))</f>
        <v>W BWD-R1-04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729</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731</v>
      </c>
      <c r="W2" s="4"/>
      <c r="X2" s="4"/>
      <c r="Y2" s="4"/>
      <c r="Z2" s="4"/>
      <c r="AA2" s="4"/>
      <c r="AB2" s="4"/>
      <c r="AC2" s="4"/>
    </row>
    <row r="3">
      <c r="A3" s="70" t="s">
        <v>732</v>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734</v>
      </c>
      <c r="B4" s="12">
        <v>2.0</v>
      </c>
      <c r="C4" s="72" t="s">
        <v>735</v>
      </c>
      <c r="D4" s="12">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380</v>
      </c>
      <c r="B6" s="2"/>
      <c r="C6" s="2"/>
      <c r="D6" s="2"/>
      <c r="E6" s="2"/>
      <c r="F6" s="2"/>
      <c r="G6" s="2"/>
      <c r="H6" s="2"/>
      <c r="I6" s="2"/>
      <c r="J6" s="4"/>
      <c r="K6" s="4"/>
      <c r="L6" s="4"/>
      <c r="M6" s="4"/>
      <c r="N6" s="22" t="s">
        <v>59</v>
      </c>
      <c r="O6" s="2"/>
      <c r="P6" s="4"/>
      <c r="Q6" s="4"/>
      <c r="R6" s="4"/>
      <c r="S6" s="22" t="s">
        <v>8</v>
      </c>
      <c r="T6" s="2"/>
      <c r="U6" s="4"/>
      <c r="V6" s="4"/>
      <c r="W6" s="4"/>
      <c r="X6" s="22" t="s">
        <v>9</v>
      </c>
      <c r="Y6" s="2"/>
      <c r="Z6" s="4"/>
      <c r="AA6" s="4"/>
      <c r="AB6" s="4"/>
      <c r="AC6" s="4"/>
    </row>
    <row r="7">
      <c r="A7" s="5" t="s">
        <v>33</v>
      </c>
      <c r="B7" s="5" t="s">
        <v>214</v>
      </c>
      <c r="C7" s="5" t="s">
        <v>737</v>
      </c>
      <c r="D7" s="5" t="s">
        <v>738</v>
      </c>
      <c r="E7" s="5" t="s">
        <v>740</v>
      </c>
      <c r="F7" s="5" t="s">
        <v>741</v>
      </c>
      <c r="G7" s="5" t="s">
        <v>34</v>
      </c>
      <c r="H7" s="5" t="s">
        <v>742</v>
      </c>
      <c r="I7" s="5" t="s">
        <v>215</v>
      </c>
      <c r="J7" s="4"/>
      <c r="K7" s="4"/>
      <c r="L7" s="4"/>
      <c r="M7" s="4"/>
      <c r="N7" s="4"/>
      <c r="O7" s="4"/>
      <c r="P7" s="4"/>
      <c r="Q7" s="4"/>
      <c r="R7" s="4"/>
      <c r="S7" s="4"/>
      <c r="T7" s="4"/>
      <c r="U7" s="4"/>
      <c r="V7" s="4"/>
      <c r="W7" s="4"/>
      <c r="X7" s="4"/>
      <c r="Y7" s="4"/>
      <c r="Z7" s="4"/>
      <c r="AA7" s="4"/>
      <c r="AB7" s="4"/>
      <c r="AC7" s="4"/>
    </row>
    <row r="8">
      <c r="A8" s="18" t="s">
        <v>77</v>
      </c>
      <c r="B8" s="30" t="s">
        <v>218</v>
      </c>
      <c r="C8" s="14">
        <f t="shared" ref="C8:C10" si="1">COUNTIFS($E$19:$E$24,$K8,$H$19:$H$24,"&lt;&gt;")+COUNTIFS($F$19:$F$24,$K8,$H$19:$H$24,"&lt;&gt;")</f>
        <v>2</v>
      </c>
      <c r="D8" s="14">
        <f t="shared" ref="D8:D10" si="2">COUNTIF($H$19:$H$24,$K8)</f>
        <v>0</v>
      </c>
      <c r="E8" s="14">
        <f t="shared" ref="E8:E10" si="3">COUNTIFS($E$19:$E$24,$K8,$H$19:$H$24,"Draw")+COUNTIFS($F$19:$F$24,$K8,$H$19:$H$24,"Draw")</f>
        <v>0</v>
      </c>
      <c r="F8" s="14">
        <f t="shared" ref="F8:F10" si="4">C8-D8-E8</f>
        <v>2</v>
      </c>
      <c r="G8" s="18">
        <f t="shared" ref="G8:G10" si="5">D8*$B$4+E8*$D$4</f>
        <v>0</v>
      </c>
      <c r="H8" s="12"/>
      <c r="I8" s="18">
        <f t="shared" ref="I8:I10" si="6">1+COUNTIF($L$8:$L$10,"&gt;"&amp;L8)</f>
        <v>3</v>
      </c>
      <c r="J8" s="4"/>
      <c r="K8" s="64" t="str">
        <f t="shared" ref="K8:K10" si="7">IF(B8="",A8,B8)</f>
        <v>Dr. Dashamoolam</v>
      </c>
      <c r="L8" s="64">
        <f t="shared" ref="L8:L10" si="8">G8+N(H8)/100</f>
        <v>0</v>
      </c>
      <c r="M8" s="4"/>
      <c r="N8" s="27" t="s">
        <v>746</v>
      </c>
      <c r="O8" s="28"/>
      <c r="P8" s="4"/>
      <c r="Q8" s="4"/>
      <c r="R8" s="4"/>
      <c r="S8" s="4"/>
      <c r="T8" s="4"/>
      <c r="U8" s="4"/>
      <c r="V8" s="4"/>
      <c r="W8" s="4"/>
      <c r="X8" s="4"/>
      <c r="Y8" s="4"/>
      <c r="Z8" s="4"/>
      <c r="AA8" s="4"/>
      <c r="AB8" s="4"/>
      <c r="AC8" s="4"/>
    </row>
    <row r="9">
      <c r="A9" s="18" t="s">
        <v>86</v>
      </c>
      <c r="B9" s="30" t="s">
        <v>220</v>
      </c>
      <c r="C9" s="14">
        <f t="shared" si="1"/>
        <v>2</v>
      </c>
      <c r="D9" s="14">
        <f t="shared" si="2"/>
        <v>1</v>
      </c>
      <c r="E9" s="14">
        <f t="shared" si="3"/>
        <v>0</v>
      </c>
      <c r="F9" s="14">
        <f t="shared" si="4"/>
        <v>1</v>
      </c>
      <c r="G9" s="18">
        <f t="shared" si="5"/>
        <v>2</v>
      </c>
      <c r="H9" s="12"/>
      <c r="I9" s="18">
        <f t="shared" si="6"/>
        <v>2</v>
      </c>
      <c r="J9" s="4"/>
      <c r="K9" s="64" t="str">
        <f t="shared" si="7"/>
        <v>Dhurandhar</v>
      </c>
      <c r="L9" s="64">
        <f t="shared" si="8"/>
        <v>2</v>
      </c>
      <c r="M9" s="4"/>
      <c r="N9" s="29" t="s">
        <v>747</v>
      </c>
      <c r="O9" s="21" t="str">
        <f t="array" ref="O9">IF(NOT(COUNTIFS($D$19:$D$24,"A",$H$19:$H$24,"&lt;&gt;")=3),"",IF(COUNTIF($I$8:$I$10,1)&lt;&gt;1,"Tie – set tiebreak",INDEX($K$8:$K$10,MATCH(1,$I$8:$I$10,0))))</f>
        <v>Jeem Boom Baa</v>
      </c>
      <c r="P9" s="4"/>
      <c r="Q9" s="31"/>
      <c r="R9" s="4"/>
      <c r="S9" s="4"/>
      <c r="T9" s="4"/>
      <c r="U9" s="4"/>
      <c r="V9" s="4"/>
      <c r="W9" s="4"/>
      <c r="X9" s="4"/>
      <c r="Y9" s="4"/>
      <c r="Z9" s="4"/>
      <c r="AA9" s="4"/>
      <c r="AB9" s="4"/>
      <c r="AC9" s="4"/>
    </row>
    <row r="10">
      <c r="A10" s="18" t="s">
        <v>71</v>
      </c>
      <c r="B10" s="30" t="s">
        <v>217</v>
      </c>
      <c r="C10" s="14">
        <f t="shared" si="1"/>
        <v>2</v>
      </c>
      <c r="D10" s="14">
        <f t="shared" si="2"/>
        <v>2</v>
      </c>
      <c r="E10" s="14">
        <f t="shared" si="3"/>
        <v>0</v>
      </c>
      <c r="F10" s="14">
        <f t="shared" si="4"/>
        <v>0</v>
      </c>
      <c r="G10" s="18">
        <f t="shared" si="5"/>
        <v>4</v>
      </c>
      <c r="H10" s="12"/>
      <c r="I10" s="18">
        <f t="shared" si="6"/>
        <v>1</v>
      </c>
      <c r="J10" s="4"/>
      <c r="K10" s="64" t="str">
        <f t="shared" si="7"/>
        <v>Jeem Boom Baa</v>
      </c>
      <c r="L10" s="64">
        <f t="shared" si="8"/>
        <v>4</v>
      </c>
      <c r="M10" s="4"/>
      <c r="N10" s="32" t="s">
        <v>748</v>
      </c>
      <c r="O10" s="62" t="str">
        <f t="array" ref="O10">IF(NOT(COUNTIFS($D$19:$D$24,"B",$H$19:$H$24,"&lt;&gt;")=3),"",IF(COUNTIF($I$13:$I$15,2)&lt;&gt;1,"Tie – set tiebreak",INDEX($K$13:$K$15,MATCH(2,$I$13:$I$15,0))))</f>
        <v>Aaram Thamburan</v>
      </c>
      <c r="P10" s="4"/>
      <c r="Q10" s="34"/>
      <c r="R10" s="4"/>
      <c r="S10" s="27" t="s">
        <v>749</v>
      </c>
      <c r="T10" s="28"/>
      <c r="U10" s="4"/>
      <c r="V10" s="4"/>
      <c r="W10" s="4"/>
      <c r="X10" s="46" t="s">
        <v>113</v>
      </c>
      <c r="Y10" s="17"/>
      <c r="Z10" s="4"/>
      <c r="AA10" s="4"/>
      <c r="AB10" s="4"/>
      <c r="AC10" s="4"/>
    </row>
    <row r="11">
      <c r="A11" s="73" t="s">
        <v>377</v>
      </c>
      <c r="B11" s="2"/>
      <c r="C11" s="2"/>
      <c r="D11" s="2"/>
      <c r="E11" s="2"/>
      <c r="F11" s="2"/>
      <c r="G11" s="2"/>
      <c r="H11" s="2"/>
      <c r="I11" s="2"/>
      <c r="J11" s="4"/>
      <c r="K11" s="4"/>
      <c r="L11" s="4"/>
      <c r="M11" s="4"/>
      <c r="N11" s="4"/>
      <c r="O11" s="4"/>
      <c r="P11" s="4"/>
      <c r="Q11" s="4"/>
      <c r="R11" s="36"/>
      <c r="S11" s="29" t="s">
        <v>750</v>
      </c>
      <c r="T11" s="38"/>
      <c r="U11" s="4"/>
      <c r="V11" s="31"/>
      <c r="W11" s="31"/>
      <c r="X11" s="48" t="s">
        <v>762</v>
      </c>
      <c r="Y11" s="49"/>
      <c r="Z11" s="4"/>
      <c r="AA11" s="4"/>
      <c r="AB11" s="4"/>
      <c r="AC11" s="4"/>
    </row>
    <row r="12">
      <c r="A12" s="5" t="s">
        <v>33</v>
      </c>
      <c r="B12" s="5" t="s">
        <v>214</v>
      </c>
      <c r="C12" s="5" t="s">
        <v>737</v>
      </c>
      <c r="D12" s="5" t="s">
        <v>738</v>
      </c>
      <c r="E12" s="5" t="s">
        <v>740</v>
      </c>
      <c r="F12" s="5" t="s">
        <v>741</v>
      </c>
      <c r="G12" s="5" t="s">
        <v>34</v>
      </c>
      <c r="H12" s="5" t="s">
        <v>742</v>
      </c>
      <c r="I12" s="5" t="s">
        <v>215</v>
      </c>
      <c r="J12" s="4"/>
      <c r="K12" s="4"/>
      <c r="L12" s="4"/>
      <c r="M12" s="4"/>
      <c r="N12" s="4"/>
      <c r="O12" s="4"/>
      <c r="P12" s="4"/>
      <c r="Q12" s="34"/>
      <c r="R12" s="36"/>
      <c r="S12" s="32" t="s">
        <v>763</v>
      </c>
      <c r="T12" s="37"/>
      <c r="U12" s="4"/>
      <c r="V12" s="4"/>
      <c r="W12" s="4"/>
      <c r="X12" s="50" t="s">
        <v>116</v>
      </c>
      <c r="Y12" s="17"/>
      <c r="Z12" s="4"/>
      <c r="AA12" s="4"/>
      <c r="AB12" s="4"/>
      <c r="AC12" s="4"/>
    </row>
    <row r="13">
      <c r="A13" s="18" t="s">
        <v>68</v>
      </c>
      <c r="B13" s="30" t="s">
        <v>216</v>
      </c>
      <c r="C13" s="14">
        <f t="shared" ref="C13:C15" si="9">COUNTIFS($E$19:$E$24,$K13,$H$19:$H$24,"&lt;&gt;")+COUNTIFS($F$19:$F$24,$K13,$H$19:$H$24,"&lt;&gt;")</f>
        <v>2</v>
      </c>
      <c r="D13" s="14">
        <f t="shared" ref="D13:D15" si="10">COUNTIF($H$19:$H$24,$K13)</f>
        <v>0</v>
      </c>
      <c r="E13" s="14">
        <f t="shared" ref="E13:E15" si="11">COUNTIFS($E$19:$E$24,$K13,$H$19:$H$24,"Draw")+COUNTIFS($F$19:$F$24,$K13,$H$19:$H$24,"Draw")</f>
        <v>0</v>
      </c>
      <c r="F13" s="14">
        <f t="shared" ref="F13:F15" si="12">C13-D13-E13</f>
        <v>2</v>
      </c>
      <c r="G13" s="18">
        <f t="shared" ref="G13:G15" si="13">D13*$B$4+E13*$D$4</f>
        <v>0</v>
      </c>
      <c r="H13" s="12"/>
      <c r="I13" s="18">
        <f t="shared" ref="I13:I15" si="14">1+COUNTIF($L$13:$L$15,"&gt;"&amp;L13)</f>
        <v>3</v>
      </c>
      <c r="J13" s="4"/>
      <c r="K13" s="64" t="str">
        <f t="shared" ref="K13:K15" si="15">IF(B13="",A13,B13)</f>
        <v>Rajarajeshwari United</v>
      </c>
      <c r="L13" s="64">
        <f t="shared" ref="L13:L15" si="16">G13+N(H13)/100</f>
        <v>0</v>
      </c>
      <c r="M13" s="4"/>
      <c r="N13" s="27" t="s">
        <v>764</v>
      </c>
      <c r="O13" s="28"/>
      <c r="P13" s="4"/>
      <c r="Q13" s="34"/>
      <c r="R13" s="4"/>
      <c r="S13" s="4"/>
      <c r="T13" s="4"/>
      <c r="U13" s="4"/>
      <c r="V13" s="4"/>
      <c r="W13" s="4"/>
      <c r="X13" s="55" t="s">
        <v>765</v>
      </c>
      <c r="Y13" s="56" t="str">
        <f>IF(Y11="","",IF(Y11=T11,T12&amp;"",IF(Y11=T12,T11&amp;"","")))</f>
        <v/>
      </c>
      <c r="Z13" s="4"/>
      <c r="AA13" s="4"/>
      <c r="AB13" s="4"/>
      <c r="AC13" s="4"/>
    </row>
    <row r="14">
      <c r="A14" s="18" t="s">
        <v>82</v>
      </c>
      <c r="B14" s="30" t="s">
        <v>219</v>
      </c>
      <c r="C14" s="14">
        <f t="shared" si="9"/>
        <v>2</v>
      </c>
      <c r="D14" s="14">
        <f t="shared" si="10"/>
        <v>2</v>
      </c>
      <c r="E14" s="14">
        <f t="shared" si="11"/>
        <v>0</v>
      </c>
      <c r="F14" s="14">
        <f t="shared" si="12"/>
        <v>0</v>
      </c>
      <c r="G14" s="18">
        <f t="shared" si="13"/>
        <v>4</v>
      </c>
      <c r="H14" s="12"/>
      <c r="I14" s="18">
        <f t="shared" si="14"/>
        <v>1</v>
      </c>
      <c r="J14" s="4"/>
      <c r="K14" s="64" t="str">
        <f t="shared" si="15"/>
        <v>Thoofan</v>
      </c>
      <c r="L14" s="64">
        <f t="shared" si="16"/>
        <v>4</v>
      </c>
      <c r="M14" s="4"/>
      <c r="N14" s="29" t="s">
        <v>766</v>
      </c>
      <c r="O14" s="21" t="str">
        <f t="array" ref="O14">IF(NOT(COUNTIFS($D$19:$D$24,"B",$H$19:$H$24,"&lt;&gt;")=3),"",IF(COUNTIF($I$13:$I$15,1)&lt;&gt;1,"Tie – set tiebreak",INDEX($K$13:$K$15,MATCH(1,$I$13:$I$15,0))))</f>
        <v>Thoofan</v>
      </c>
      <c r="P14" s="4"/>
      <c r="Q14" s="39"/>
      <c r="R14" s="4"/>
      <c r="S14" s="4"/>
      <c r="T14" s="4"/>
      <c r="U14" s="4"/>
      <c r="V14" s="4"/>
      <c r="W14" s="4"/>
      <c r="X14" s="4"/>
      <c r="Y14" s="4"/>
      <c r="Z14" s="4"/>
      <c r="AA14" s="4"/>
      <c r="AB14" s="4"/>
      <c r="AC14" s="4"/>
    </row>
    <row r="15">
      <c r="A15" s="18" t="s">
        <v>66</v>
      </c>
      <c r="B15" s="30" t="s">
        <v>221</v>
      </c>
      <c r="C15" s="14">
        <f t="shared" si="9"/>
        <v>2</v>
      </c>
      <c r="D15" s="14">
        <f t="shared" si="10"/>
        <v>1</v>
      </c>
      <c r="E15" s="14">
        <f t="shared" si="11"/>
        <v>0</v>
      </c>
      <c r="F15" s="14">
        <f t="shared" si="12"/>
        <v>1</v>
      </c>
      <c r="G15" s="18">
        <f t="shared" si="13"/>
        <v>2</v>
      </c>
      <c r="H15" s="12"/>
      <c r="I15" s="18">
        <f t="shared" si="14"/>
        <v>2</v>
      </c>
      <c r="J15" s="4"/>
      <c r="K15" s="64" t="str">
        <f t="shared" si="15"/>
        <v>Aaram Thamburan</v>
      </c>
      <c r="L15" s="64">
        <f t="shared" si="16"/>
        <v>2</v>
      </c>
      <c r="M15" s="4"/>
      <c r="N15" s="32" t="s">
        <v>767</v>
      </c>
      <c r="O15" s="62" t="str">
        <f t="array" ref="O15">IF(NOT(COUNTIFS($D$19:$D$24,"A",$H$19:$H$24,"&lt;&gt;")=3),"",IF(COUNTIF($I$8:$I$10,2)&lt;&gt;1,"Tie – set tiebreak",INDEX($K$8:$K$10,MATCH(2,$I$8:$I$10,0))))</f>
        <v>Dhurandhar</v>
      </c>
      <c r="P15" s="4"/>
      <c r="Q15" s="4"/>
      <c r="R15" s="4"/>
      <c r="S15" s="4"/>
      <c r="T15" s="4"/>
      <c r="U15" s="4"/>
      <c r="V15" s="4"/>
      <c r="W15" s="4"/>
      <c r="X15" s="4"/>
      <c r="Y15" s="4"/>
      <c r="Z15" s="4"/>
      <c r="AA15" s="4"/>
      <c r="AB15" s="4"/>
      <c r="AC15" s="4"/>
    </row>
    <row r="16">
      <c r="A16" s="13" t="s">
        <v>768</v>
      </c>
      <c r="B16" s="4"/>
      <c r="C16" s="4"/>
      <c r="D16" s="4"/>
      <c r="E16" s="4"/>
      <c r="F16" s="4"/>
      <c r="G16" s="4"/>
      <c r="H16" s="4"/>
      <c r="I16" s="4"/>
      <c r="J16" s="4"/>
      <c r="K16" s="4"/>
      <c r="L16" s="4"/>
      <c r="M16" s="4"/>
      <c r="N16" s="4"/>
      <c r="O16" s="4"/>
      <c r="P16" s="4"/>
      <c r="Q16" s="4"/>
      <c r="R16" s="4"/>
      <c r="S16" s="57" t="s">
        <v>769</v>
      </c>
      <c r="T16" s="28"/>
      <c r="U16" s="4"/>
      <c r="V16" s="4"/>
      <c r="W16" s="4"/>
      <c r="X16" s="59" t="s">
        <v>121</v>
      </c>
      <c r="Y16" s="17"/>
      <c r="Z16" s="4"/>
      <c r="AA16" s="4"/>
      <c r="AB16" s="4"/>
      <c r="AC16" s="4"/>
    </row>
    <row r="17">
      <c r="A17" s="13" t="s">
        <v>770</v>
      </c>
      <c r="B17" s="4"/>
      <c r="C17" s="4"/>
      <c r="D17" s="4"/>
      <c r="E17" s="4"/>
      <c r="F17" s="4"/>
      <c r="G17" s="4"/>
      <c r="H17" s="4"/>
      <c r="I17" s="4"/>
      <c r="J17" s="4"/>
      <c r="K17" s="4"/>
      <c r="L17" s="4"/>
      <c r="M17" s="4"/>
      <c r="N17" s="4"/>
      <c r="O17" s="4"/>
      <c r="P17" s="4"/>
      <c r="Q17" s="4"/>
      <c r="R17" s="4"/>
      <c r="S17" s="29" t="s">
        <v>771</v>
      </c>
      <c r="T17" s="21" t="str">
        <f>IF(T11="","",IF(T11=O9,O10&amp;"",IF(T11=O10,O9&amp;"","")))</f>
        <v/>
      </c>
      <c r="U17" s="31"/>
      <c r="V17" s="31"/>
      <c r="W17" s="31"/>
      <c r="X17" s="60" t="str">
        <f>IF(Y17="","W C-3P-01",IF(Y17=T17,S17&amp;"",IF(Y17=T18,S18&amp;"","W C-3P-01")))</f>
        <v>W C-3P-01</v>
      </c>
      <c r="Y17" s="61"/>
      <c r="Z17" s="4"/>
      <c r="AA17" s="4"/>
      <c r="AB17" s="4"/>
      <c r="AC17" s="4"/>
    </row>
    <row r="18">
      <c r="A18" s="5" t="s">
        <v>43</v>
      </c>
      <c r="B18" s="5" t="s">
        <v>772</v>
      </c>
      <c r="C18" s="5" t="s">
        <v>773</v>
      </c>
      <c r="D18" s="5" t="s">
        <v>774</v>
      </c>
      <c r="E18" s="5" t="s">
        <v>68</v>
      </c>
      <c r="F18" s="5" t="s">
        <v>71</v>
      </c>
      <c r="G18" s="5" t="s">
        <v>775</v>
      </c>
      <c r="H18" s="5" t="s">
        <v>776</v>
      </c>
      <c r="I18" s="4"/>
      <c r="J18" s="4"/>
      <c r="K18" s="4"/>
      <c r="L18" s="4"/>
      <c r="M18" s="4"/>
      <c r="N18" s="4"/>
      <c r="O18" s="4"/>
      <c r="P18" s="4"/>
      <c r="Q18" s="4"/>
      <c r="R18" s="4"/>
      <c r="S18" s="32" t="s">
        <v>777</v>
      </c>
      <c r="T18" s="62" t="str">
        <f>IF(T12="","",IF(T12=O14,O15&amp;"",IF(T12=O15,O14&amp;"","")))</f>
        <v/>
      </c>
      <c r="U18" s="4"/>
      <c r="V18" s="4"/>
      <c r="W18" s="4"/>
      <c r="X18" s="4"/>
      <c r="Y18" s="4"/>
      <c r="Z18" s="4"/>
      <c r="AA18" s="4"/>
      <c r="AB18" s="4"/>
      <c r="AC18" s="4"/>
    </row>
    <row r="19">
      <c r="A19" s="74" t="s">
        <v>378</v>
      </c>
      <c r="B19" s="8" t="s">
        <v>225</v>
      </c>
      <c r="C19" s="8" t="s">
        <v>172</v>
      </c>
      <c r="D19" s="8" t="s">
        <v>778</v>
      </c>
      <c r="E19" s="21" t="str">
        <f>$K$13</f>
        <v>Rajarajeshwari United</v>
      </c>
      <c r="F19" s="21" t="str">
        <f>$K$14</f>
        <v>Thoofan</v>
      </c>
      <c r="G19" s="12"/>
      <c r="H19" s="38" t="s">
        <v>219</v>
      </c>
      <c r="I19" s="4"/>
      <c r="J19" s="4"/>
      <c r="K19" s="4"/>
      <c r="L19" s="4"/>
      <c r="M19" s="4"/>
      <c r="N19" s="4"/>
      <c r="O19" s="4"/>
      <c r="P19" s="4"/>
      <c r="Q19" s="4"/>
      <c r="R19" s="4"/>
      <c r="S19" s="4"/>
      <c r="T19" s="4"/>
      <c r="U19" s="4"/>
      <c r="V19" s="4"/>
      <c r="W19" s="4"/>
      <c r="X19" s="4"/>
      <c r="Y19" s="4"/>
      <c r="Z19" s="4"/>
      <c r="AA19" s="64" t="str">
        <f t="shared" ref="AA19:AB19" si="17">E19</f>
        <v>Rajarajeshwari United</v>
      </c>
      <c r="AB19" s="64" t="str">
        <f t="shared" si="17"/>
        <v>Thoofan</v>
      </c>
      <c r="AC19" s="64" t="s">
        <v>779</v>
      </c>
    </row>
    <row r="20">
      <c r="A20" s="74" t="s">
        <v>381</v>
      </c>
      <c r="B20" s="8" t="s">
        <v>225</v>
      </c>
      <c r="C20" s="8" t="s">
        <v>379</v>
      </c>
      <c r="D20" s="8" t="s">
        <v>780</v>
      </c>
      <c r="E20" s="21" t="str">
        <f>$K$8</f>
        <v>Dr. Dashamoolam</v>
      </c>
      <c r="F20" s="21" t="str">
        <f>$K$9</f>
        <v>Dhurandhar</v>
      </c>
      <c r="G20" s="12"/>
      <c r="H20" s="38" t="s">
        <v>220</v>
      </c>
      <c r="I20" s="4"/>
      <c r="J20" s="4"/>
      <c r="K20" s="4"/>
      <c r="L20" s="4"/>
      <c r="M20" s="4"/>
      <c r="N20" s="4"/>
      <c r="O20" s="4"/>
      <c r="P20" s="4"/>
      <c r="Q20" s="4"/>
      <c r="R20" s="4"/>
      <c r="S20" s="4"/>
      <c r="T20" s="4"/>
      <c r="U20" s="4"/>
      <c r="V20" s="4"/>
      <c r="W20" s="4"/>
      <c r="X20" s="4"/>
      <c r="Y20" s="4"/>
      <c r="Z20" s="4"/>
      <c r="AA20" s="64" t="str">
        <f t="shared" ref="AA20:AB20" si="18">E20</f>
        <v>Dr. Dashamoolam</v>
      </c>
      <c r="AB20" s="64" t="str">
        <f t="shared" si="18"/>
        <v>Dhurandhar</v>
      </c>
      <c r="AC20" s="64" t="s">
        <v>779</v>
      </c>
    </row>
    <row r="21" ht="15.75" customHeight="1">
      <c r="A21" s="74" t="s">
        <v>382</v>
      </c>
      <c r="B21" s="8" t="s">
        <v>225</v>
      </c>
      <c r="C21" s="8" t="s">
        <v>379</v>
      </c>
      <c r="D21" s="8" t="s">
        <v>778</v>
      </c>
      <c r="E21" s="21" t="str">
        <f>$K$14</f>
        <v>Thoofan</v>
      </c>
      <c r="F21" s="21" t="str">
        <f>$K$15</f>
        <v>Aaram Thamburan</v>
      </c>
      <c r="G21" s="12"/>
      <c r="H21" s="38" t="s">
        <v>219</v>
      </c>
      <c r="I21" s="4"/>
      <c r="J21" s="4"/>
      <c r="K21" s="4"/>
      <c r="L21" s="4"/>
      <c r="M21" s="4"/>
      <c r="N21" s="4"/>
      <c r="O21" s="4"/>
      <c r="P21" s="4"/>
      <c r="Q21" s="4"/>
      <c r="R21" s="4"/>
      <c r="S21" s="4"/>
      <c r="T21" s="4"/>
      <c r="U21" s="4"/>
      <c r="V21" s="4"/>
      <c r="W21" s="4"/>
      <c r="X21" s="4"/>
      <c r="Y21" s="4"/>
      <c r="Z21" s="4"/>
      <c r="AA21" s="64" t="str">
        <f t="shared" ref="AA21:AB21" si="19">E21</f>
        <v>Thoofan</v>
      </c>
      <c r="AB21" s="64" t="str">
        <f t="shared" si="19"/>
        <v>Aaram Thamburan</v>
      </c>
      <c r="AC21" s="64" t="s">
        <v>779</v>
      </c>
    </row>
    <row r="22" ht="15.75" customHeight="1">
      <c r="A22" s="74" t="s">
        <v>385</v>
      </c>
      <c r="B22" s="8" t="s">
        <v>384</v>
      </c>
      <c r="C22" s="8" t="s">
        <v>172</v>
      </c>
      <c r="D22" s="8" t="s">
        <v>780</v>
      </c>
      <c r="E22" s="21" t="str">
        <f>$K$10</f>
        <v>Jeem Boom Baa</v>
      </c>
      <c r="F22" s="21" t="str">
        <f>$K$8</f>
        <v>Dr. Dashamoolam</v>
      </c>
      <c r="G22" s="12"/>
      <c r="H22" s="38" t="s">
        <v>217</v>
      </c>
      <c r="I22" s="4"/>
      <c r="J22" s="4"/>
      <c r="K22" s="4"/>
      <c r="L22" s="4"/>
      <c r="M22" s="4"/>
      <c r="N22" s="4"/>
      <c r="O22" s="4"/>
      <c r="P22" s="4"/>
      <c r="Q22" s="4"/>
      <c r="R22" s="4"/>
      <c r="S22" s="4"/>
      <c r="T22" s="4"/>
      <c r="U22" s="4"/>
      <c r="V22" s="4"/>
      <c r="W22" s="4"/>
      <c r="X22" s="4"/>
      <c r="Y22" s="4"/>
      <c r="Z22" s="4"/>
      <c r="AA22" s="64" t="str">
        <f t="shared" ref="AA22:AB22" si="20">E22</f>
        <v>Jeem Boom Baa</v>
      </c>
      <c r="AB22" s="64" t="str">
        <f t="shared" si="20"/>
        <v>Dr. Dashamoolam</v>
      </c>
      <c r="AC22" s="64" t="s">
        <v>779</v>
      </c>
    </row>
    <row r="23" ht="15.75" customHeight="1">
      <c r="A23" s="74" t="s">
        <v>386</v>
      </c>
      <c r="B23" s="8" t="s">
        <v>384</v>
      </c>
      <c r="C23" s="8" t="s">
        <v>379</v>
      </c>
      <c r="D23" s="8" t="s">
        <v>778</v>
      </c>
      <c r="E23" s="21" t="str">
        <f>$K$15</f>
        <v>Aaram Thamburan</v>
      </c>
      <c r="F23" s="21" t="str">
        <f>$K$13</f>
        <v>Rajarajeshwari United</v>
      </c>
      <c r="G23" s="12"/>
      <c r="H23" s="38" t="s">
        <v>221</v>
      </c>
      <c r="I23" s="4"/>
      <c r="J23" s="4"/>
      <c r="K23" s="4"/>
      <c r="L23" s="4"/>
      <c r="M23" s="4"/>
      <c r="N23" s="4"/>
      <c r="O23" s="4"/>
      <c r="P23" s="4"/>
      <c r="Q23" s="4"/>
      <c r="R23" s="4"/>
      <c r="S23" s="4"/>
      <c r="T23" s="4"/>
      <c r="U23" s="4"/>
      <c r="V23" s="4"/>
      <c r="W23" s="4"/>
      <c r="X23" s="4"/>
      <c r="Y23" s="4"/>
      <c r="Z23" s="4"/>
      <c r="AA23" s="64" t="str">
        <f t="shared" ref="AA23:AB23" si="21">E23</f>
        <v>Aaram Thamburan</v>
      </c>
      <c r="AB23" s="64" t="str">
        <f t="shared" si="21"/>
        <v>Rajarajeshwari United</v>
      </c>
      <c r="AC23" s="64" t="s">
        <v>779</v>
      </c>
    </row>
    <row r="24" ht="15.75" customHeight="1">
      <c r="A24" s="74" t="s">
        <v>387</v>
      </c>
      <c r="B24" s="8" t="s">
        <v>384</v>
      </c>
      <c r="C24" s="8" t="s">
        <v>379</v>
      </c>
      <c r="D24" s="8" t="s">
        <v>780</v>
      </c>
      <c r="E24" s="21" t="str">
        <f>$K$9</f>
        <v>Dhurandhar</v>
      </c>
      <c r="F24" s="21" t="str">
        <f>$K$10</f>
        <v>Jeem Boom Baa</v>
      </c>
      <c r="G24" s="12"/>
      <c r="H24" s="38" t="s">
        <v>217</v>
      </c>
      <c r="I24" s="4"/>
      <c r="J24" s="4"/>
      <c r="K24" s="4"/>
      <c r="L24" s="4"/>
      <c r="M24" s="4"/>
      <c r="N24" s="4"/>
      <c r="O24" s="4"/>
      <c r="P24" s="4"/>
      <c r="Q24" s="4"/>
      <c r="R24" s="4"/>
      <c r="S24" s="4"/>
      <c r="T24" s="4"/>
      <c r="U24" s="4"/>
      <c r="V24" s="4"/>
      <c r="W24" s="4"/>
      <c r="X24" s="4"/>
      <c r="Y24" s="4"/>
      <c r="Z24" s="4"/>
      <c r="AA24" s="64" t="str">
        <f t="shared" ref="AA24:AB24" si="22">E24</f>
        <v>Dhurandhar</v>
      </c>
      <c r="AB24" s="64" t="str">
        <f t="shared" si="22"/>
        <v>Jeem Boom Baa</v>
      </c>
      <c r="AC24" s="64" t="s">
        <v>779</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10" width="8.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31" width="13.0"/>
  </cols>
  <sheetData>
    <row r="1" ht="30.0" customHeight="1">
      <c r="A1" s="1" t="s">
        <v>781</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731</v>
      </c>
      <c r="W2" s="4"/>
      <c r="X2" s="4"/>
      <c r="Y2" s="4"/>
      <c r="Z2" s="4"/>
      <c r="AA2" s="4"/>
      <c r="AB2" s="4"/>
      <c r="AC2" s="4"/>
    </row>
    <row r="3">
      <c r="A3" s="70" t="s">
        <v>782</v>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734</v>
      </c>
      <c r="B4" s="12">
        <v>3.0</v>
      </c>
      <c r="C4" s="72" t="s">
        <v>735</v>
      </c>
      <c r="D4" s="12">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380</v>
      </c>
      <c r="B6" s="2"/>
      <c r="C6" s="2"/>
      <c r="D6" s="2"/>
      <c r="E6" s="2"/>
      <c r="F6" s="2"/>
      <c r="G6" s="2"/>
      <c r="H6" s="2"/>
      <c r="I6" s="2"/>
      <c r="J6" s="2"/>
      <c r="K6" s="4"/>
      <c r="L6" s="4"/>
      <c r="M6" s="4"/>
      <c r="N6" s="22" t="s">
        <v>59</v>
      </c>
      <c r="O6" s="2"/>
      <c r="P6" s="4"/>
      <c r="Q6" s="4"/>
      <c r="R6" s="4"/>
      <c r="S6" s="22" t="s">
        <v>8</v>
      </c>
      <c r="T6" s="2"/>
      <c r="U6" s="4"/>
      <c r="V6" s="4"/>
      <c r="W6" s="4"/>
      <c r="X6" s="22" t="s">
        <v>9</v>
      </c>
      <c r="Y6" s="2"/>
      <c r="Z6" s="4"/>
      <c r="AA6" s="4"/>
      <c r="AB6" s="4"/>
      <c r="AC6" s="4"/>
    </row>
    <row r="7">
      <c r="A7" s="5" t="s">
        <v>33</v>
      </c>
      <c r="B7" s="5" t="s">
        <v>214</v>
      </c>
      <c r="C7" s="5" t="s">
        <v>737</v>
      </c>
      <c r="D7" s="5" t="s">
        <v>738</v>
      </c>
      <c r="E7" s="5" t="s">
        <v>740</v>
      </c>
      <c r="F7" s="5" t="s">
        <v>741</v>
      </c>
      <c r="G7" s="5" t="s">
        <v>34</v>
      </c>
      <c r="H7" s="5" t="s">
        <v>742</v>
      </c>
      <c r="I7" s="5" t="s">
        <v>215</v>
      </c>
      <c r="J7" s="5" t="s">
        <v>783</v>
      </c>
      <c r="K7" s="4"/>
      <c r="L7" s="4"/>
      <c r="M7" s="4"/>
      <c r="N7" s="4"/>
      <c r="O7" s="4"/>
      <c r="P7" s="4"/>
      <c r="Q7" s="4"/>
      <c r="R7" s="4"/>
      <c r="S7" s="4"/>
      <c r="T7" s="4"/>
      <c r="U7" s="4"/>
      <c r="V7" s="4"/>
      <c r="W7" s="4"/>
      <c r="X7" s="4"/>
      <c r="Y7" s="4"/>
      <c r="Z7" s="4"/>
      <c r="AA7" s="4"/>
      <c r="AB7" s="4"/>
      <c r="AC7" s="4"/>
    </row>
    <row r="8">
      <c r="A8" s="18" t="s">
        <v>77</v>
      </c>
      <c r="B8" s="30" t="s">
        <v>218</v>
      </c>
      <c r="C8" s="14">
        <f t="shared" ref="C8:C10" si="1">COUNTIFS($E$19:$E$24,$K8,$H$19:$H$24,"&lt;&gt;")+COUNTIFS($F$19:$F$24,$K8,$H$19:$H$24,"&lt;&gt;")</f>
        <v>2</v>
      </c>
      <c r="D8" s="14">
        <f t="shared" ref="D8:D10" si="2">COUNTIF($H$19:$H$24,$K8)</f>
        <v>1</v>
      </c>
      <c r="E8" s="14">
        <f t="shared" ref="E8:E10" si="3">COUNTIFS($E$19:$E$24,$K8,$H$19:$H$24,"Draw")+COUNTIFS($F$19:$F$24,$K8,$H$19:$H$24,"Draw")</f>
        <v>0</v>
      </c>
      <c r="F8" s="14">
        <f t="shared" ref="F8:F10" si="4">C8-D8-E8</f>
        <v>1</v>
      </c>
      <c r="G8" s="18">
        <f t="shared" ref="G8:G10" si="5">D8*$B$4+E8*$D$4</f>
        <v>3</v>
      </c>
      <c r="H8" s="12"/>
      <c r="I8" s="18">
        <f t="shared" ref="I8:I10" si="6">1+COUNTIF($L$8:$L$10,"&gt;"&amp;L8)</f>
        <v>2</v>
      </c>
      <c r="J8" s="14">
        <f t="shared" ref="J8:J10" si="7">SUMIF($E$19:$E$24,$K8,$AD$19:$AD$24)+SUMIF($F$19:$F$24,$K8,$AE$19:$AE$24)-SUMIF($E$19:$E$24,$K8,$AE$19:$AE$24)-SUMIF($F$19:$F$24,$K8,$AD$19:$AD$24)</f>
        <v>0</v>
      </c>
      <c r="K8" s="64" t="str">
        <f t="shared" ref="K8:K10" si="8">IF(B8="",A8,B8)</f>
        <v>Dr. Dashamoolam</v>
      </c>
      <c r="L8" s="64">
        <f t="shared" ref="L8:L10" si="9">G8+N(H8)/100</f>
        <v>3</v>
      </c>
      <c r="M8" s="4"/>
      <c r="N8" s="27" t="s">
        <v>793</v>
      </c>
      <c r="O8" s="28"/>
      <c r="P8" s="4"/>
      <c r="Q8" s="4"/>
      <c r="R8" s="4"/>
      <c r="S8" s="4"/>
      <c r="T8" s="4"/>
      <c r="U8" s="4"/>
      <c r="V8" s="4"/>
      <c r="W8" s="4"/>
      <c r="X8" s="4"/>
      <c r="Y8" s="4"/>
      <c r="Z8" s="4"/>
      <c r="AA8" s="4"/>
      <c r="AB8" s="4"/>
      <c r="AC8" s="4"/>
    </row>
    <row r="9">
      <c r="A9" s="18" t="s">
        <v>86</v>
      </c>
      <c r="B9" s="30" t="s">
        <v>220</v>
      </c>
      <c r="C9" s="14">
        <f t="shared" si="1"/>
        <v>2</v>
      </c>
      <c r="D9" s="14">
        <f t="shared" si="2"/>
        <v>1</v>
      </c>
      <c r="E9" s="14">
        <f t="shared" si="3"/>
        <v>1</v>
      </c>
      <c r="F9" s="14">
        <f t="shared" si="4"/>
        <v>0</v>
      </c>
      <c r="G9" s="18">
        <f t="shared" si="5"/>
        <v>4</v>
      </c>
      <c r="H9" s="12"/>
      <c r="I9" s="18">
        <f t="shared" si="6"/>
        <v>1</v>
      </c>
      <c r="J9" s="14">
        <f t="shared" si="7"/>
        <v>1</v>
      </c>
      <c r="K9" s="64" t="str">
        <f t="shared" si="8"/>
        <v>Dhurandhar</v>
      </c>
      <c r="L9" s="64">
        <f t="shared" si="9"/>
        <v>4</v>
      </c>
      <c r="M9" s="4"/>
      <c r="N9" s="29" t="s">
        <v>747</v>
      </c>
      <c r="O9" s="21" t="str">
        <f t="array" ref="O9">IF(NOT(COUNTIFS($D$19:$D$24,"A",$H$19:$H$24,"&lt;&gt;")=3),"",IF(COUNTIF($I$8:$I$10,1)&lt;&gt;1,"Tie – set tiebreak",INDEX($K$8:$K$10,MATCH(1,$I$8:$I$10,0))))</f>
        <v>Dhurandhar</v>
      </c>
      <c r="P9" s="4"/>
      <c r="Q9" s="31"/>
      <c r="R9" s="4"/>
      <c r="S9" s="4"/>
      <c r="T9" s="4"/>
      <c r="U9" s="4"/>
      <c r="V9" s="4"/>
      <c r="W9" s="4"/>
      <c r="X9" s="4"/>
      <c r="Y9" s="4"/>
      <c r="Z9" s="4"/>
      <c r="AA9" s="4"/>
      <c r="AB9" s="4"/>
      <c r="AC9" s="4"/>
    </row>
    <row r="10">
      <c r="A10" s="18" t="s">
        <v>71</v>
      </c>
      <c r="B10" s="30" t="s">
        <v>217</v>
      </c>
      <c r="C10" s="14">
        <f t="shared" si="1"/>
        <v>2</v>
      </c>
      <c r="D10" s="14">
        <f t="shared" si="2"/>
        <v>0</v>
      </c>
      <c r="E10" s="14">
        <f t="shared" si="3"/>
        <v>1</v>
      </c>
      <c r="F10" s="14">
        <f t="shared" si="4"/>
        <v>1</v>
      </c>
      <c r="G10" s="18">
        <f t="shared" si="5"/>
        <v>1</v>
      </c>
      <c r="H10" s="12"/>
      <c r="I10" s="18">
        <f t="shared" si="6"/>
        <v>3</v>
      </c>
      <c r="J10" s="14">
        <f t="shared" si="7"/>
        <v>-1</v>
      </c>
      <c r="K10" s="64" t="str">
        <f t="shared" si="8"/>
        <v>Jeem Boom Baa</v>
      </c>
      <c r="L10" s="64">
        <f t="shared" si="9"/>
        <v>1</v>
      </c>
      <c r="M10" s="4"/>
      <c r="N10" s="32" t="s">
        <v>748</v>
      </c>
      <c r="O10" s="62" t="str">
        <f t="array" ref="O10">IF(NOT(COUNTIFS($D$19:$D$24,"B",$H$19:$H$24,"&lt;&gt;")=3),"",IF(COUNTIF($I$13:$I$15,2)&lt;&gt;1,"Tie – set tiebreak",INDEX($K$13:$K$15,MATCH(2,$I$13:$I$15,0))))</f>
        <v>Thoofan</v>
      </c>
      <c r="P10" s="4"/>
      <c r="Q10" s="34"/>
      <c r="R10" s="4"/>
      <c r="S10" s="27" t="s">
        <v>803</v>
      </c>
      <c r="T10" s="28"/>
      <c r="U10" s="4"/>
      <c r="V10" s="4"/>
      <c r="W10" s="4"/>
      <c r="X10" s="46" t="s">
        <v>113</v>
      </c>
      <c r="Y10" s="17"/>
      <c r="Z10" s="4"/>
      <c r="AA10" s="4"/>
      <c r="AB10" s="4"/>
      <c r="AC10" s="4"/>
    </row>
    <row r="11">
      <c r="A11" s="73" t="s">
        <v>377</v>
      </c>
      <c r="B11" s="2"/>
      <c r="C11" s="2"/>
      <c r="D11" s="2"/>
      <c r="E11" s="2"/>
      <c r="F11" s="2"/>
      <c r="G11" s="2"/>
      <c r="H11" s="2"/>
      <c r="I11" s="2"/>
      <c r="J11" s="2"/>
      <c r="K11" s="4"/>
      <c r="L11" s="4"/>
      <c r="M11" s="4"/>
      <c r="N11" s="4"/>
      <c r="O11" s="4"/>
      <c r="P11" s="4"/>
      <c r="Q11" s="4"/>
      <c r="R11" s="36"/>
      <c r="S11" s="29" t="s">
        <v>804</v>
      </c>
      <c r="T11" s="38"/>
      <c r="U11" s="4"/>
      <c r="V11" s="31"/>
      <c r="W11" s="31"/>
      <c r="X11" s="48" t="s">
        <v>805</v>
      </c>
      <c r="Y11" s="49"/>
      <c r="Z11" s="4"/>
      <c r="AA11" s="4"/>
      <c r="AB11" s="4"/>
      <c r="AC11" s="4"/>
    </row>
    <row r="12">
      <c r="A12" s="5" t="s">
        <v>33</v>
      </c>
      <c r="B12" s="5" t="s">
        <v>214</v>
      </c>
      <c r="C12" s="5" t="s">
        <v>737</v>
      </c>
      <c r="D12" s="5" t="s">
        <v>738</v>
      </c>
      <c r="E12" s="5" t="s">
        <v>740</v>
      </c>
      <c r="F12" s="5" t="s">
        <v>741</v>
      </c>
      <c r="G12" s="5" t="s">
        <v>34</v>
      </c>
      <c r="H12" s="5" t="s">
        <v>742</v>
      </c>
      <c r="I12" s="5" t="s">
        <v>215</v>
      </c>
      <c r="J12" s="5" t="s">
        <v>783</v>
      </c>
      <c r="K12" s="4"/>
      <c r="L12" s="4"/>
      <c r="M12" s="4"/>
      <c r="N12" s="4"/>
      <c r="O12" s="4"/>
      <c r="P12" s="4"/>
      <c r="Q12" s="34"/>
      <c r="R12" s="36"/>
      <c r="S12" s="32" t="s">
        <v>806</v>
      </c>
      <c r="T12" s="37"/>
      <c r="U12" s="4"/>
      <c r="V12" s="4"/>
      <c r="W12" s="4"/>
      <c r="X12" s="50" t="s">
        <v>116</v>
      </c>
      <c r="Y12" s="17"/>
      <c r="Z12" s="4"/>
      <c r="AA12" s="4"/>
      <c r="AB12" s="4"/>
      <c r="AC12" s="4"/>
    </row>
    <row r="13">
      <c r="A13" s="18" t="s">
        <v>68</v>
      </c>
      <c r="B13" s="30" t="s">
        <v>216</v>
      </c>
      <c r="C13" s="14">
        <f t="shared" ref="C13:C15" si="10">COUNTIFS($E$19:$E$24,$K13,$H$19:$H$24,"&lt;&gt;")+COUNTIFS($F$19:$F$24,$K13,$H$19:$H$24,"&lt;&gt;")</f>
        <v>2</v>
      </c>
      <c r="D13" s="14">
        <f t="shared" ref="D13:D15" si="11">COUNTIF($H$19:$H$24,$K13)</f>
        <v>2</v>
      </c>
      <c r="E13" s="14">
        <f t="shared" ref="E13:E15" si="12">COUNTIFS($E$19:$E$24,$K13,$H$19:$H$24,"Draw")+COUNTIFS($F$19:$F$24,$K13,$H$19:$H$24,"Draw")</f>
        <v>0</v>
      </c>
      <c r="F13" s="14">
        <f t="shared" ref="F13:F15" si="13">C13-D13-E13</f>
        <v>0</v>
      </c>
      <c r="G13" s="18">
        <f t="shared" ref="G13:G15" si="14">D13*$B$4+E13*$D$4</f>
        <v>6</v>
      </c>
      <c r="H13" s="12"/>
      <c r="I13" s="18">
        <f t="shared" ref="I13:I15" si="15">1+COUNTIF($L$13:$L$15,"&gt;"&amp;L13)</f>
        <v>1</v>
      </c>
      <c r="J13" s="14">
        <f t="shared" ref="J13:J15" si="16">SUMIF($E$19:$E$24,$K13,$AD$19:$AD$24)+SUMIF($F$19:$F$24,$K13,$AE$19:$AE$24)-SUMIF($E$19:$E$24,$K13,$AE$19:$AE$24)-SUMIF($F$19:$F$24,$K13,$AD$19:$AD$24)</f>
        <v>6</v>
      </c>
      <c r="K13" s="64" t="str">
        <f t="shared" ref="K13:K15" si="17">IF(B13="",A13,B13)</f>
        <v>Rajarajeshwari United</v>
      </c>
      <c r="L13" s="64">
        <f t="shared" ref="L13:L15" si="18">G13+N(H13)/100</f>
        <v>6</v>
      </c>
      <c r="M13" s="4"/>
      <c r="N13" s="27" t="s">
        <v>807</v>
      </c>
      <c r="O13" s="28"/>
      <c r="P13" s="4"/>
      <c r="Q13" s="34"/>
      <c r="R13" s="4"/>
      <c r="S13" s="4"/>
      <c r="T13" s="4"/>
      <c r="U13" s="4"/>
      <c r="V13" s="4"/>
      <c r="W13" s="4"/>
      <c r="X13" s="55" t="s">
        <v>765</v>
      </c>
      <c r="Y13" s="56" t="str">
        <f>IF(Y11="","",IF(Y11=T11,T12&amp;"",IF(Y11=T12,T11&amp;"","")))</f>
        <v/>
      </c>
      <c r="Z13" s="4"/>
      <c r="AA13" s="4"/>
      <c r="AB13" s="4"/>
      <c r="AC13" s="4"/>
    </row>
    <row r="14">
      <c r="A14" s="18" t="s">
        <v>82</v>
      </c>
      <c r="B14" s="30" t="s">
        <v>219</v>
      </c>
      <c r="C14" s="14">
        <f t="shared" si="10"/>
        <v>2</v>
      </c>
      <c r="D14" s="14">
        <f t="shared" si="11"/>
        <v>1</v>
      </c>
      <c r="E14" s="14">
        <f t="shared" si="12"/>
        <v>0</v>
      </c>
      <c r="F14" s="14">
        <f t="shared" si="13"/>
        <v>1</v>
      </c>
      <c r="G14" s="18">
        <f t="shared" si="14"/>
        <v>3</v>
      </c>
      <c r="H14" s="12"/>
      <c r="I14" s="18">
        <f t="shared" si="15"/>
        <v>2</v>
      </c>
      <c r="J14" s="14">
        <f t="shared" si="16"/>
        <v>-2</v>
      </c>
      <c r="K14" s="64" t="str">
        <f t="shared" si="17"/>
        <v>Thoofan</v>
      </c>
      <c r="L14" s="64">
        <f t="shared" si="18"/>
        <v>3</v>
      </c>
      <c r="M14" s="4"/>
      <c r="N14" s="29" t="s">
        <v>766</v>
      </c>
      <c r="O14" s="21" t="str">
        <f t="array" ref="O14">IF(NOT(COUNTIFS($D$19:$D$24,"B",$H$19:$H$24,"&lt;&gt;")=3),"",IF(COUNTIF($I$13:$I$15,1)&lt;&gt;1,"Tie – set tiebreak",INDEX($K$13:$K$15,MATCH(1,$I$13:$I$15,0))))</f>
        <v>Rajarajeshwari United</v>
      </c>
      <c r="P14" s="4"/>
      <c r="Q14" s="39"/>
      <c r="R14" s="4"/>
      <c r="S14" s="4"/>
      <c r="T14" s="4"/>
      <c r="U14" s="4"/>
      <c r="V14" s="4"/>
      <c r="W14" s="4"/>
      <c r="X14" s="4"/>
      <c r="Y14" s="4"/>
      <c r="Z14" s="4"/>
      <c r="AA14" s="4"/>
      <c r="AB14" s="4"/>
      <c r="AC14" s="4"/>
    </row>
    <row r="15">
      <c r="A15" s="18" t="s">
        <v>66</v>
      </c>
      <c r="B15" s="30" t="s">
        <v>221</v>
      </c>
      <c r="C15" s="14">
        <f t="shared" si="10"/>
        <v>2</v>
      </c>
      <c r="D15" s="14">
        <f t="shared" si="11"/>
        <v>0</v>
      </c>
      <c r="E15" s="14">
        <f t="shared" si="12"/>
        <v>0</v>
      </c>
      <c r="F15" s="14">
        <f t="shared" si="13"/>
        <v>2</v>
      </c>
      <c r="G15" s="18">
        <f t="shared" si="14"/>
        <v>0</v>
      </c>
      <c r="H15" s="12"/>
      <c r="I15" s="18">
        <f t="shared" si="15"/>
        <v>3</v>
      </c>
      <c r="J15" s="14">
        <f t="shared" si="16"/>
        <v>-4</v>
      </c>
      <c r="K15" s="64" t="str">
        <f t="shared" si="17"/>
        <v>Aaram Thamburan</v>
      </c>
      <c r="L15" s="64">
        <f t="shared" si="18"/>
        <v>0</v>
      </c>
      <c r="M15" s="4"/>
      <c r="N15" s="32" t="s">
        <v>767</v>
      </c>
      <c r="O15" s="62" t="str">
        <f t="array" ref="O15">IF(NOT(COUNTIFS($D$19:$D$24,"A",$H$19:$H$24,"&lt;&gt;")=3),"",IF(COUNTIF($I$8:$I$10,2)&lt;&gt;1,"Tie – set tiebreak",INDEX($K$8:$K$10,MATCH(2,$I$8:$I$10,0))))</f>
        <v>Dr. Dashamoolam</v>
      </c>
      <c r="P15" s="4"/>
      <c r="Q15" s="4"/>
      <c r="R15" s="4"/>
      <c r="S15" s="4"/>
      <c r="T15" s="4"/>
      <c r="U15" s="4"/>
      <c r="V15" s="4"/>
      <c r="W15" s="4"/>
      <c r="X15" s="4"/>
      <c r="Y15" s="4"/>
      <c r="Z15" s="4"/>
      <c r="AA15" s="4"/>
      <c r="AB15" s="4"/>
      <c r="AC15" s="4"/>
    </row>
    <row r="16">
      <c r="A16" s="13" t="s">
        <v>768</v>
      </c>
      <c r="B16" s="4"/>
      <c r="C16" s="4"/>
      <c r="D16" s="4"/>
      <c r="E16" s="4"/>
      <c r="F16" s="4"/>
      <c r="G16" s="4"/>
      <c r="H16" s="4"/>
      <c r="I16" s="4"/>
      <c r="J16" s="4"/>
      <c r="K16" s="4"/>
      <c r="L16" s="4"/>
      <c r="M16" s="4"/>
      <c r="N16" s="4"/>
      <c r="O16" s="4"/>
      <c r="P16" s="4"/>
      <c r="Q16" s="4"/>
      <c r="R16" s="4"/>
      <c r="S16" s="57" t="s">
        <v>808</v>
      </c>
      <c r="T16" s="28"/>
      <c r="U16" s="4"/>
      <c r="V16" s="4"/>
      <c r="W16" s="4"/>
      <c r="X16" s="59" t="s">
        <v>121</v>
      </c>
      <c r="Y16" s="17"/>
      <c r="Z16" s="4"/>
      <c r="AA16" s="4"/>
      <c r="AB16" s="4"/>
      <c r="AC16" s="4"/>
    </row>
    <row r="17">
      <c r="A17" s="13" t="s">
        <v>770</v>
      </c>
      <c r="B17" s="4"/>
      <c r="C17" s="4"/>
      <c r="D17" s="4"/>
      <c r="E17" s="4"/>
      <c r="F17" s="4"/>
      <c r="G17" s="4"/>
      <c r="H17" s="4"/>
      <c r="I17" s="4"/>
      <c r="J17" s="4"/>
      <c r="K17" s="4"/>
      <c r="L17" s="4"/>
      <c r="M17" s="4"/>
      <c r="N17" s="4"/>
      <c r="O17" s="4"/>
      <c r="P17" s="4"/>
      <c r="Q17" s="4"/>
      <c r="R17" s="4"/>
      <c r="S17" s="29" t="s">
        <v>809</v>
      </c>
      <c r="T17" s="21" t="str">
        <f>IF(T11="","",IF(T11=O9,O10&amp;"",IF(T11=O10,O9&amp;"","")))</f>
        <v/>
      </c>
      <c r="U17" s="31"/>
      <c r="V17" s="31"/>
      <c r="W17" s="31"/>
      <c r="X17" s="60" t="str">
        <f>IF(Y17="","W F-3P-01",IF(Y17=T17,S17&amp;"",IF(Y17=T18,S18&amp;"","W F-3P-01")))</f>
        <v>W F-3P-01</v>
      </c>
      <c r="Y17" s="61"/>
      <c r="Z17" s="4"/>
      <c r="AA17" s="4"/>
      <c r="AB17" s="4"/>
      <c r="AC17" s="4"/>
    </row>
    <row r="18">
      <c r="A18" s="5" t="s">
        <v>43</v>
      </c>
      <c r="B18" s="5" t="s">
        <v>772</v>
      </c>
      <c r="C18" s="5" t="s">
        <v>773</v>
      </c>
      <c r="D18" s="5" t="s">
        <v>774</v>
      </c>
      <c r="E18" s="5" t="s">
        <v>68</v>
      </c>
      <c r="F18" s="5" t="s">
        <v>71</v>
      </c>
      <c r="G18" s="5" t="s">
        <v>775</v>
      </c>
      <c r="H18" s="5" t="s">
        <v>776</v>
      </c>
      <c r="I18" s="4"/>
      <c r="J18" s="4"/>
      <c r="K18" s="4"/>
      <c r="L18" s="4"/>
      <c r="M18" s="4"/>
      <c r="N18" s="4"/>
      <c r="O18" s="4"/>
      <c r="P18" s="4"/>
      <c r="Q18" s="4"/>
      <c r="R18" s="4"/>
      <c r="S18" s="32" t="s">
        <v>810</v>
      </c>
      <c r="T18" s="62" t="str">
        <f>IF(T12="","",IF(T12=O14,O15&amp;"",IF(T12=O15,O14&amp;"","")))</f>
        <v/>
      </c>
      <c r="U18" s="4"/>
      <c r="V18" s="4"/>
      <c r="W18" s="4"/>
      <c r="X18" s="4"/>
      <c r="Y18" s="4"/>
      <c r="Z18" s="4"/>
      <c r="AA18" s="4"/>
      <c r="AB18" s="4"/>
      <c r="AC18" s="4"/>
      <c r="AD18" s="64" t="s">
        <v>811</v>
      </c>
      <c r="AE18" s="64" t="s">
        <v>812</v>
      </c>
    </row>
    <row r="19">
      <c r="A19" s="74" t="s">
        <v>389</v>
      </c>
      <c r="B19" s="8" t="s">
        <v>228</v>
      </c>
      <c r="C19" s="8" t="s">
        <v>172</v>
      </c>
      <c r="D19" s="8" t="s">
        <v>778</v>
      </c>
      <c r="E19" s="21" t="str">
        <f>$K$13</f>
        <v>Rajarajeshwari United</v>
      </c>
      <c r="F19" s="21" t="str">
        <f>$K$14</f>
        <v>Thoofan</v>
      </c>
      <c r="G19" s="75" t="s">
        <v>813</v>
      </c>
      <c r="H19" s="76" t="s">
        <v>216</v>
      </c>
      <c r="I19" s="4"/>
      <c r="J19" s="4"/>
      <c r="K19" s="4"/>
      <c r="L19" s="4"/>
      <c r="M19" s="4"/>
      <c r="N19" s="4"/>
      <c r="O19" s="4"/>
      <c r="P19" s="4"/>
      <c r="Q19" s="4"/>
      <c r="R19" s="4"/>
      <c r="S19" s="4"/>
      <c r="T19" s="4"/>
      <c r="U19" s="4"/>
      <c r="V19" s="4"/>
      <c r="W19" s="4"/>
      <c r="X19" s="4"/>
      <c r="Y19" s="4"/>
      <c r="Z19" s="4"/>
      <c r="AA19" s="64" t="str">
        <f t="shared" ref="AA19:AB19" si="19">E19</f>
        <v>Rajarajeshwari United</v>
      </c>
      <c r="AB19" s="64" t="str">
        <f t="shared" si="19"/>
        <v>Thoofan</v>
      </c>
      <c r="AC19" s="64" t="s">
        <v>779</v>
      </c>
      <c r="AD19" s="64">
        <f t="shared" ref="AD19:AD24" si="21">IFERROR(VALUE(TRIM(LEFT(SUBSTITUTE(SUBSTITUTE($G19,"–","-"),"—","-"),FIND("-",SUBSTITUTE(SUBSTITUTE($G19,"–","-"),"—","-"))-1))),0)</f>
        <v>4</v>
      </c>
      <c r="AE19" s="64">
        <f t="shared" ref="AE19:AE24" si="22">IFERROR(VALUE(TRIM(MID(SUBSTITUTE(SUBSTITUTE($G19,"–","-"),"—","-"),FIND("-",SUBSTITUTE(SUBSTITUTE($G19,"–","-"),"—","-"))+1,2))),0)</f>
        <v>1</v>
      </c>
    </row>
    <row r="20">
      <c r="A20" s="74" t="s">
        <v>395</v>
      </c>
      <c r="B20" s="8" t="s">
        <v>228</v>
      </c>
      <c r="C20" s="8" t="s">
        <v>379</v>
      </c>
      <c r="D20" s="8" t="s">
        <v>780</v>
      </c>
      <c r="E20" s="21" t="str">
        <f>$K$8</f>
        <v>Dr. Dashamoolam</v>
      </c>
      <c r="F20" s="21" t="str">
        <f>$K$9</f>
        <v>Dhurandhar</v>
      </c>
      <c r="G20" s="75" t="s">
        <v>814</v>
      </c>
      <c r="H20" s="76" t="s">
        <v>220</v>
      </c>
      <c r="I20" s="4"/>
      <c r="J20" s="4"/>
      <c r="K20" s="4"/>
      <c r="L20" s="4"/>
      <c r="M20" s="4"/>
      <c r="N20" s="4"/>
      <c r="O20" s="4"/>
      <c r="P20" s="4"/>
      <c r="Q20" s="4"/>
      <c r="R20" s="4"/>
      <c r="S20" s="4"/>
      <c r="T20" s="4"/>
      <c r="U20" s="4"/>
      <c r="V20" s="4"/>
      <c r="W20" s="4"/>
      <c r="X20" s="4"/>
      <c r="Y20" s="4"/>
      <c r="Z20" s="4"/>
      <c r="AA20" s="64" t="str">
        <f t="shared" ref="AA20:AB20" si="20">E20</f>
        <v>Dr. Dashamoolam</v>
      </c>
      <c r="AB20" s="64" t="str">
        <f t="shared" si="20"/>
        <v>Dhurandhar</v>
      </c>
      <c r="AC20" s="64" t="s">
        <v>779</v>
      </c>
      <c r="AD20" s="64">
        <f t="shared" si="21"/>
        <v>1</v>
      </c>
      <c r="AE20" s="64">
        <f t="shared" si="22"/>
        <v>2</v>
      </c>
    </row>
    <row r="21" ht="15.75" customHeight="1">
      <c r="A21" s="74" t="s">
        <v>396</v>
      </c>
      <c r="B21" s="8" t="s">
        <v>228</v>
      </c>
      <c r="C21" s="8" t="s">
        <v>379</v>
      </c>
      <c r="D21" s="8" t="s">
        <v>778</v>
      </c>
      <c r="E21" s="21" t="str">
        <f>$K$14</f>
        <v>Thoofan</v>
      </c>
      <c r="F21" s="21" t="str">
        <f>$K$15</f>
        <v>Aaram Thamburan</v>
      </c>
      <c r="G21" s="75" t="s">
        <v>815</v>
      </c>
      <c r="H21" s="76" t="s">
        <v>219</v>
      </c>
      <c r="I21" s="4"/>
      <c r="J21" s="4"/>
      <c r="K21" s="4"/>
      <c r="L21" s="4"/>
      <c r="M21" s="4"/>
      <c r="N21" s="4"/>
      <c r="O21" s="4"/>
      <c r="P21" s="4"/>
      <c r="Q21" s="4"/>
      <c r="R21" s="4"/>
      <c r="S21" s="4"/>
      <c r="T21" s="4"/>
      <c r="U21" s="4"/>
      <c r="V21" s="4"/>
      <c r="W21" s="4"/>
      <c r="X21" s="4"/>
      <c r="Y21" s="4"/>
      <c r="Z21" s="4"/>
      <c r="AA21" s="64" t="str">
        <f t="shared" ref="AA21:AB21" si="23">E21</f>
        <v>Thoofan</v>
      </c>
      <c r="AB21" s="64" t="str">
        <f t="shared" si="23"/>
        <v>Aaram Thamburan</v>
      </c>
      <c r="AC21" s="64" t="s">
        <v>779</v>
      </c>
      <c r="AD21" s="64">
        <f t="shared" si="21"/>
        <v>3</v>
      </c>
      <c r="AE21" s="64">
        <f t="shared" si="22"/>
        <v>2</v>
      </c>
    </row>
    <row r="22" ht="15.75" customHeight="1">
      <c r="A22" s="74" t="s">
        <v>399</v>
      </c>
      <c r="B22" s="8" t="s">
        <v>398</v>
      </c>
      <c r="C22" s="8" t="s">
        <v>172</v>
      </c>
      <c r="D22" s="8" t="s">
        <v>780</v>
      </c>
      <c r="E22" s="21" t="str">
        <f>$K$10</f>
        <v>Jeem Boom Baa</v>
      </c>
      <c r="F22" s="21" t="str">
        <f>$K$8</f>
        <v>Dr. Dashamoolam</v>
      </c>
      <c r="G22" s="75" t="s">
        <v>816</v>
      </c>
      <c r="H22" s="76" t="s">
        <v>218</v>
      </c>
      <c r="I22" s="4"/>
      <c r="J22" s="4"/>
      <c r="K22" s="4"/>
      <c r="L22" s="4"/>
      <c r="M22" s="4"/>
      <c r="N22" s="4"/>
      <c r="O22" s="4"/>
      <c r="P22" s="4"/>
      <c r="Q22" s="4"/>
      <c r="R22" s="4"/>
      <c r="S22" s="4"/>
      <c r="T22" s="4"/>
      <c r="U22" s="4"/>
      <c r="V22" s="4"/>
      <c r="W22" s="4"/>
      <c r="X22" s="4"/>
      <c r="Y22" s="4"/>
      <c r="Z22" s="4"/>
      <c r="AA22" s="64" t="str">
        <f t="shared" ref="AA22:AB22" si="24">E22</f>
        <v>Jeem Boom Baa</v>
      </c>
      <c r="AB22" s="64" t="str">
        <f t="shared" si="24"/>
        <v>Dr. Dashamoolam</v>
      </c>
      <c r="AC22" s="64" t="s">
        <v>779</v>
      </c>
      <c r="AD22" s="64">
        <f t="shared" si="21"/>
        <v>0</v>
      </c>
      <c r="AE22" s="64">
        <f t="shared" si="22"/>
        <v>1</v>
      </c>
    </row>
    <row r="23" ht="15.75" customHeight="1">
      <c r="A23" s="74" t="s">
        <v>400</v>
      </c>
      <c r="B23" s="8" t="s">
        <v>398</v>
      </c>
      <c r="C23" s="8" t="s">
        <v>379</v>
      </c>
      <c r="D23" s="8" t="s">
        <v>778</v>
      </c>
      <c r="E23" s="21" t="str">
        <f>$K$15</f>
        <v>Aaram Thamburan</v>
      </c>
      <c r="F23" s="21" t="str">
        <f>$K$13</f>
        <v>Rajarajeshwari United</v>
      </c>
      <c r="G23" s="75" t="s">
        <v>817</v>
      </c>
      <c r="H23" s="76" t="s">
        <v>216</v>
      </c>
      <c r="I23" s="4"/>
      <c r="J23" s="4"/>
      <c r="K23" s="4"/>
      <c r="L23" s="4"/>
      <c r="M23" s="4"/>
      <c r="N23" s="4"/>
      <c r="O23" s="4"/>
      <c r="P23" s="4"/>
      <c r="Q23" s="4"/>
      <c r="R23" s="4"/>
      <c r="S23" s="4"/>
      <c r="T23" s="4"/>
      <c r="U23" s="4"/>
      <c r="V23" s="4"/>
      <c r="W23" s="4"/>
      <c r="X23" s="4"/>
      <c r="Y23" s="4"/>
      <c r="Z23" s="4"/>
      <c r="AA23" s="64" t="str">
        <f t="shared" ref="AA23:AB23" si="25">E23</f>
        <v>Aaram Thamburan</v>
      </c>
      <c r="AB23" s="64" t="str">
        <f t="shared" si="25"/>
        <v>Rajarajeshwari United</v>
      </c>
      <c r="AC23" s="64" t="s">
        <v>779</v>
      </c>
      <c r="AD23" s="64">
        <f t="shared" si="21"/>
        <v>0</v>
      </c>
      <c r="AE23" s="64">
        <f t="shared" si="22"/>
        <v>3</v>
      </c>
    </row>
    <row r="24" ht="15.75" customHeight="1">
      <c r="A24" s="74" t="s">
        <v>401</v>
      </c>
      <c r="B24" s="8" t="s">
        <v>398</v>
      </c>
      <c r="C24" s="8" t="s">
        <v>379</v>
      </c>
      <c r="D24" s="8" t="s">
        <v>780</v>
      </c>
      <c r="E24" s="21" t="str">
        <f>$K$9</f>
        <v>Dhurandhar</v>
      </c>
      <c r="F24" s="21" t="str">
        <f>$K$10</f>
        <v>Jeem Boom Baa</v>
      </c>
      <c r="G24" s="75" t="s">
        <v>818</v>
      </c>
      <c r="H24" s="76" t="s">
        <v>779</v>
      </c>
      <c r="I24" s="4"/>
      <c r="J24" s="4"/>
      <c r="K24" s="4"/>
      <c r="L24" s="4"/>
      <c r="M24" s="4"/>
      <c r="N24" s="4"/>
      <c r="O24" s="4"/>
      <c r="P24" s="4"/>
      <c r="Q24" s="4"/>
      <c r="R24" s="4"/>
      <c r="S24" s="4"/>
      <c r="T24" s="4"/>
      <c r="U24" s="4"/>
      <c r="V24" s="4"/>
      <c r="W24" s="4"/>
      <c r="X24" s="4"/>
      <c r="Y24" s="4"/>
      <c r="Z24" s="4"/>
      <c r="AA24" s="64" t="str">
        <f t="shared" ref="AA24:AB24" si="26">E24</f>
        <v>Dhurandhar</v>
      </c>
      <c r="AB24" s="64" t="str">
        <f t="shared" si="26"/>
        <v>Jeem Boom Baa</v>
      </c>
      <c r="AC24" s="64" t="s">
        <v>779</v>
      </c>
      <c r="AD24" s="64">
        <f t="shared" si="21"/>
        <v>2</v>
      </c>
      <c r="AE24" s="64">
        <f t="shared" si="22"/>
        <v>2</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J11"/>
    <mergeCell ref="X12:Y12"/>
    <mergeCell ref="N13:O13"/>
    <mergeCell ref="S16:T16"/>
    <mergeCell ref="X16:Y16"/>
    <mergeCell ref="A1:V1"/>
    <mergeCell ref="A2:V2"/>
    <mergeCell ref="A6:J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1.0"/>
    <col customWidth="1" min="2" max="3" width="24.0"/>
    <col customWidth="1" min="4" max="4" width="8.0"/>
    <col customWidth="1" min="5" max="5" width="12.0"/>
    <col customWidth="1" min="6" max="6" width="14.43"/>
  </cols>
  <sheetData>
    <row r="1" ht="30.0" customHeight="1">
      <c r="A1" s="1" t="s">
        <v>784</v>
      </c>
      <c r="B1" s="2"/>
      <c r="C1" s="2"/>
      <c r="D1" s="2"/>
      <c r="E1" s="2"/>
    </row>
    <row r="2">
      <c r="A2" s="3" t="s">
        <v>785</v>
      </c>
    </row>
    <row r="3">
      <c r="A3" s="3" t="s">
        <v>786</v>
      </c>
    </row>
    <row r="4">
      <c r="A4" s="5" t="s">
        <v>43</v>
      </c>
      <c r="B4" s="5" t="s">
        <v>33</v>
      </c>
      <c r="C4" s="5" t="s">
        <v>787</v>
      </c>
      <c r="D4" s="5" t="s">
        <v>788</v>
      </c>
      <c r="E4" s="5" t="s">
        <v>789</v>
      </c>
    </row>
    <row r="5">
      <c r="A5" s="75" t="s">
        <v>389</v>
      </c>
      <c r="B5" s="75" t="s">
        <v>216</v>
      </c>
      <c r="C5" s="75" t="s">
        <v>421</v>
      </c>
      <c r="D5" s="75">
        <v>2.0</v>
      </c>
      <c r="E5" s="14">
        <f t="shared" ref="E5:E6" si="1">IF(OR(C5="",C5="Own goal"),"",SUMIFS($D$5:$D$201,$C$5:$C$201,C5,$B$5:$B$201,B5)+COUNTIFS($C$5:$C$201,C5,$B$5:$B$201,B5,$D$5:$D$201,""))</f>
        <v>4</v>
      </c>
    </row>
    <row r="6">
      <c r="A6" s="75" t="s">
        <v>389</v>
      </c>
      <c r="B6" s="75" t="s">
        <v>216</v>
      </c>
      <c r="C6" s="75" t="s">
        <v>790</v>
      </c>
      <c r="D6" s="75">
        <v>1.0</v>
      </c>
      <c r="E6" s="14">
        <f t="shared" si="1"/>
        <v>1</v>
      </c>
    </row>
    <row r="7">
      <c r="A7" s="75" t="s">
        <v>389</v>
      </c>
      <c r="B7" s="75" t="s">
        <v>216</v>
      </c>
      <c r="C7" s="75" t="s">
        <v>791</v>
      </c>
      <c r="D7" s="75">
        <v>1.0</v>
      </c>
      <c r="E7" s="14"/>
    </row>
    <row r="8">
      <c r="A8" s="75" t="s">
        <v>389</v>
      </c>
      <c r="B8" s="75" t="s">
        <v>219</v>
      </c>
      <c r="C8" s="75" t="s">
        <v>792</v>
      </c>
      <c r="D8" s="75">
        <v>1.0</v>
      </c>
      <c r="E8" s="14">
        <f t="shared" ref="E8:E201" si="2">IF(OR(C8="",C8="Own goal"),"",SUMIFS($D$5:$D$201,$C$5:$C$201,C8,$B$5:$B$201,B8)+COUNTIFS($C$5:$C$201,C8,$B$5:$B$201,B8,$D$5:$D$201,""))</f>
        <v>2</v>
      </c>
    </row>
    <row r="9">
      <c r="A9" s="75" t="s">
        <v>395</v>
      </c>
      <c r="B9" s="75" t="s">
        <v>220</v>
      </c>
      <c r="C9" s="75" t="s">
        <v>794</v>
      </c>
      <c r="D9" s="75">
        <v>1.0</v>
      </c>
      <c r="E9" s="14">
        <f t="shared" si="2"/>
        <v>1</v>
      </c>
    </row>
    <row r="10">
      <c r="A10" s="75" t="s">
        <v>395</v>
      </c>
      <c r="B10" s="75" t="s">
        <v>220</v>
      </c>
      <c r="C10" s="75" t="s">
        <v>795</v>
      </c>
      <c r="D10" s="75">
        <v>1.0</v>
      </c>
      <c r="E10" s="14">
        <f t="shared" si="2"/>
        <v>1</v>
      </c>
    </row>
    <row r="11">
      <c r="A11" s="75" t="s">
        <v>395</v>
      </c>
      <c r="B11" s="75" t="s">
        <v>218</v>
      </c>
      <c r="C11" s="75" t="s">
        <v>796</v>
      </c>
      <c r="D11" s="75">
        <v>1.0</v>
      </c>
      <c r="E11" s="14">
        <f t="shared" si="2"/>
        <v>1</v>
      </c>
    </row>
    <row r="12">
      <c r="A12" s="75" t="s">
        <v>396</v>
      </c>
      <c r="B12" s="75" t="s">
        <v>219</v>
      </c>
      <c r="C12" s="75" t="s">
        <v>797</v>
      </c>
      <c r="D12" s="75">
        <v>2.0</v>
      </c>
      <c r="E12" s="14">
        <f t="shared" si="2"/>
        <v>2</v>
      </c>
    </row>
    <row r="13">
      <c r="A13" s="75" t="s">
        <v>396</v>
      </c>
      <c r="B13" s="75" t="s">
        <v>219</v>
      </c>
      <c r="C13" s="75" t="s">
        <v>792</v>
      </c>
      <c r="D13" s="75">
        <v>1.0</v>
      </c>
      <c r="E13" s="14">
        <f t="shared" si="2"/>
        <v>2</v>
      </c>
    </row>
    <row r="14">
      <c r="A14" s="75" t="s">
        <v>396</v>
      </c>
      <c r="B14" s="75" t="s">
        <v>221</v>
      </c>
      <c r="C14" s="75" t="s">
        <v>438</v>
      </c>
      <c r="D14" s="75">
        <v>1.0</v>
      </c>
      <c r="E14" s="14">
        <f t="shared" si="2"/>
        <v>1</v>
      </c>
    </row>
    <row r="15">
      <c r="A15" s="75" t="s">
        <v>396</v>
      </c>
      <c r="B15" s="75" t="s">
        <v>221</v>
      </c>
      <c r="C15" s="75" t="s">
        <v>798</v>
      </c>
      <c r="D15" s="75">
        <v>1.0</v>
      </c>
      <c r="E15" s="14">
        <f t="shared" si="2"/>
        <v>1</v>
      </c>
    </row>
    <row r="16">
      <c r="A16" s="75" t="s">
        <v>399</v>
      </c>
      <c r="B16" s="75" t="s">
        <v>218</v>
      </c>
      <c r="C16" s="75" t="s">
        <v>799</v>
      </c>
      <c r="D16" s="75">
        <v>1.0</v>
      </c>
      <c r="E16" s="14">
        <f t="shared" si="2"/>
        <v>1</v>
      </c>
    </row>
    <row r="17">
      <c r="A17" s="75" t="s">
        <v>400</v>
      </c>
      <c r="B17" s="75" t="s">
        <v>216</v>
      </c>
      <c r="C17" s="75" t="s">
        <v>288</v>
      </c>
      <c r="D17" s="75">
        <v>1.0</v>
      </c>
      <c r="E17" s="14">
        <f t="shared" si="2"/>
        <v>1</v>
      </c>
    </row>
    <row r="18">
      <c r="A18" s="75" t="s">
        <v>400</v>
      </c>
      <c r="B18" s="75" t="s">
        <v>216</v>
      </c>
      <c r="C18" s="75" t="s">
        <v>421</v>
      </c>
      <c r="D18" s="75">
        <v>2.0</v>
      </c>
      <c r="E18" s="14">
        <f t="shared" si="2"/>
        <v>4</v>
      </c>
    </row>
    <row r="19">
      <c r="A19" s="75" t="s">
        <v>401</v>
      </c>
      <c r="B19" s="75" t="s">
        <v>220</v>
      </c>
      <c r="C19" s="75" t="s">
        <v>800</v>
      </c>
      <c r="D19" s="75">
        <v>1.0</v>
      </c>
      <c r="E19" s="14">
        <f t="shared" si="2"/>
        <v>1</v>
      </c>
    </row>
    <row r="20">
      <c r="A20" s="75" t="s">
        <v>401</v>
      </c>
      <c r="B20" s="75" t="s">
        <v>220</v>
      </c>
      <c r="C20" s="75" t="s">
        <v>801</v>
      </c>
      <c r="D20" s="75">
        <v>1.0</v>
      </c>
      <c r="E20" s="14">
        <f t="shared" si="2"/>
        <v>1</v>
      </c>
    </row>
    <row r="21">
      <c r="A21" s="75" t="s">
        <v>401</v>
      </c>
      <c r="B21" s="75" t="s">
        <v>217</v>
      </c>
      <c r="C21" s="75" t="s">
        <v>802</v>
      </c>
      <c r="D21" s="75">
        <v>2.0</v>
      </c>
      <c r="E21" s="14">
        <f t="shared" si="2"/>
        <v>2</v>
      </c>
    </row>
    <row r="22" ht="15.75" customHeight="1">
      <c r="A22" s="12"/>
      <c r="B22" s="12"/>
      <c r="C22" s="12"/>
      <c r="D22" s="12"/>
      <c r="E22" s="14" t="str">
        <f t="shared" si="2"/>
        <v/>
      </c>
    </row>
    <row r="23" ht="15.75" customHeight="1">
      <c r="A23" s="12"/>
      <c r="B23" s="12"/>
      <c r="C23" s="12"/>
      <c r="D23" s="12"/>
      <c r="E23" s="14" t="str">
        <f t="shared" si="2"/>
        <v/>
      </c>
    </row>
    <row r="24" ht="15.75" customHeight="1">
      <c r="A24" s="12"/>
      <c r="B24" s="12"/>
      <c r="C24" s="12"/>
      <c r="D24" s="12"/>
      <c r="E24" s="14" t="str">
        <f t="shared" si="2"/>
        <v/>
      </c>
    </row>
    <row r="25" ht="15.75" customHeight="1">
      <c r="A25" s="12"/>
      <c r="B25" s="12"/>
      <c r="C25" s="12"/>
      <c r="D25" s="12"/>
      <c r="E25" s="14" t="str">
        <f t="shared" si="2"/>
        <v/>
      </c>
    </row>
    <row r="26" ht="15.75" customHeight="1">
      <c r="A26" s="12"/>
      <c r="B26" s="12"/>
      <c r="C26" s="12"/>
      <c r="D26" s="12"/>
      <c r="E26" s="14" t="str">
        <f t="shared" si="2"/>
        <v/>
      </c>
    </row>
    <row r="27" ht="15.75" customHeight="1">
      <c r="A27" s="12"/>
      <c r="B27" s="12"/>
      <c r="C27" s="12"/>
      <c r="D27" s="12"/>
      <c r="E27" s="14" t="str">
        <f t="shared" si="2"/>
        <v/>
      </c>
    </row>
    <row r="28" ht="15.75" customHeight="1">
      <c r="A28" s="12"/>
      <c r="B28" s="12"/>
      <c r="C28" s="12"/>
      <c r="D28" s="12"/>
      <c r="E28" s="14" t="str">
        <f t="shared" si="2"/>
        <v/>
      </c>
    </row>
    <row r="29" ht="15.75" customHeight="1">
      <c r="A29" s="12"/>
      <c r="B29" s="12"/>
      <c r="C29" s="12"/>
      <c r="D29" s="12"/>
      <c r="E29" s="14" t="str">
        <f t="shared" si="2"/>
        <v/>
      </c>
    </row>
    <row r="30" ht="15.75" customHeight="1">
      <c r="A30" s="12"/>
      <c r="B30" s="12"/>
      <c r="C30" s="12"/>
      <c r="D30" s="12"/>
      <c r="E30" s="14" t="str">
        <f t="shared" si="2"/>
        <v/>
      </c>
    </row>
    <row r="31" ht="15.75" customHeight="1">
      <c r="A31" s="12"/>
      <c r="B31" s="12"/>
      <c r="C31" s="12"/>
      <c r="D31" s="12"/>
      <c r="E31" s="14" t="str">
        <f t="shared" si="2"/>
        <v/>
      </c>
    </row>
    <row r="32" ht="15.75" customHeight="1">
      <c r="A32" s="12"/>
      <c r="B32" s="12"/>
      <c r="C32" s="12"/>
      <c r="D32" s="12"/>
      <c r="E32" s="14" t="str">
        <f t="shared" si="2"/>
        <v/>
      </c>
    </row>
    <row r="33" ht="15.75" customHeight="1">
      <c r="A33" s="12"/>
      <c r="B33" s="12"/>
      <c r="C33" s="12"/>
      <c r="D33" s="12"/>
      <c r="E33" s="14" t="str">
        <f t="shared" si="2"/>
        <v/>
      </c>
    </row>
    <row r="34" ht="15.75" customHeight="1">
      <c r="A34" s="12"/>
      <c r="B34" s="12"/>
      <c r="C34" s="12"/>
      <c r="D34" s="12"/>
      <c r="E34" s="14" t="str">
        <f t="shared" si="2"/>
        <v/>
      </c>
    </row>
    <row r="35" ht="15.75" customHeight="1">
      <c r="A35" s="12"/>
      <c r="B35" s="12"/>
      <c r="C35" s="12"/>
      <c r="D35" s="12"/>
      <c r="E35" s="14" t="str">
        <f t="shared" si="2"/>
        <v/>
      </c>
    </row>
    <row r="36" ht="15.75" customHeight="1">
      <c r="A36" s="12"/>
      <c r="B36" s="12"/>
      <c r="C36" s="12"/>
      <c r="D36" s="12"/>
      <c r="E36" s="14" t="str">
        <f t="shared" si="2"/>
        <v/>
      </c>
    </row>
    <row r="37" ht="15.75" customHeight="1">
      <c r="A37" s="12"/>
      <c r="B37" s="12"/>
      <c r="C37" s="12"/>
      <c r="D37" s="12"/>
      <c r="E37" s="14" t="str">
        <f t="shared" si="2"/>
        <v/>
      </c>
    </row>
    <row r="38" ht="15.75" customHeight="1">
      <c r="A38" s="12"/>
      <c r="B38" s="12"/>
      <c r="C38" s="12"/>
      <c r="D38" s="12"/>
      <c r="E38" s="14" t="str">
        <f t="shared" si="2"/>
        <v/>
      </c>
    </row>
    <row r="39" ht="15.75" customHeight="1">
      <c r="A39" s="12"/>
      <c r="B39" s="12"/>
      <c r="C39" s="12"/>
      <c r="D39" s="12"/>
      <c r="E39" s="14" t="str">
        <f t="shared" si="2"/>
        <v/>
      </c>
    </row>
    <row r="40" ht="15.75" customHeight="1">
      <c r="A40" s="12"/>
      <c r="B40" s="12"/>
      <c r="C40" s="12"/>
      <c r="D40" s="12"/>
      <c r="E40" s="14" t="str">
        <f t="shared" si="2"/>
        <v/>
      </c>
    </row>
    <row r="41" ht="15.75" customHeight="1">
      <c r="A41" s="12"/>
      <c r="B41" s="12"/>
      <c r="C41" s="12"/>
      <c r="D41" s="12"/>
      <c r="E41" s="14" t="str">
        <f t="shared" si="2"/>
        <v/>
      </c>
    </row>
    <row r="42" ht="15.75" customHeight="1">
      <c r="A42" s="12"/>
      <c r="B42" s="12"/>
      <c r="C42" s="12"/>
      <c r="D42" s="12"/>
      <c r="E42" s="14" t="str">
        <f t="shared" si="2"/>
        <v/>
      </c>
    </row>
    <row r="43" ht="15.75" customHeight="1">
      <c r="A43" s="12"/>
      <c r="B43" s="12"/>
      <c r="C43" s="12"/>
      <c r="D43" s="12"/>
      <c r="E43" s="14" t="str">
        <f t="shared" si="2"/>
        <v/>
      </c>
    </row>
    <row r="44" ht="15.75" customHeight="1">
      <c r="A44" s="12"/>
      <c r="B44" s="12"/>
      <c r="C44" s="12"/>
      <c r="D44" s="12"/>
      <c r="E44" s="14" t="str">
        <f t="shared" si="2"/>
        <v/>
      </c>
    </row>
    <row r="45" ht="15.75" customHeight="1">
      <c r="A45" s="12"/>
      <c r="B45" s="12"/>
      <c r="C45" s="12"/>
      <c r="D45" s="12"/>
      <c r="E45" s="14" t="str">
        <f t="shared" si="2"/>
        <v/>
      </c>
    </row>
    <row r="46" ht="15.75" customHeight="1">
      <c r="A46" s="12"/>
      <c r="B46" s="12"/>
      <c r="C46" s="12"/>
      <c r="D46" s="12"/>
      <c r="E46" s="14" t="str">
        <f t="shared" si="2"/>
        <v/>
      </c>
    </row>
    <row r="47" ht="15.75" customHeight="1">
      <c r="A47" s="12"/>
      <c r="B47" s="12"/>
      <c r="C47" s="12"/>
      <c r="D47" s="12"/>
      <c r="E47" s="14" t="str">
        <f t="shared" si="2"/>
        <v/>
      </c>
    </row>
    <row r="48" ht="15.75" customHeight="1">
      <c r="A48" s="12"/>
      <c r="B48" s="12"/>
      <c r="C48" s="12"/>
      <c r="D48" s="12"/>
      <c r="E48" s="14" t="str">
        <f t="shared" si="2"/>
        <v/>
      </c>
    </row>
    <row r="49" ht="15.75" customHeight="1">
      <c r="A49" s="12"/>
      <c r="B49" s="12"/>
      <c r="C49" s="12"/>
      <c r="D49" s="12"/>
      <c r="E49" s="14" t="str">
        <f t="shared" si="2"/>
        <v/>
      </c>
    </row>
    <row r="50" ht="15.75" customHeight="1">
      <c r="A50" s="12"/>
      <c r="B50" s="12"/>
      <c r="C50" s="12"/>
      <c r="D50" s="12"/>
      <c r="E50" s="14" t="str">
        <f t="shared" si="2"/>
        <v/>
      </c>
    </row>
    <row r="51" ht="15.75" customHeight="1">
      <c r="A51" s="12"/>
      <c r="B51" s="12"/>
      <c r="C51" s="12"/>
      <c r="D51" s="12"/>
      <c r="E51" s="14" t="str">
        <f t="shared" si="2"/>
        <v/>
      </c>
    </row>
    <row r="52" ht="15.75" customHeight="1">
      <c r="A52" s="12"/>
      <c r="B52" s="12"/>
      <c r="C52" s="12"/>
      <c r="D52" s="12"/>
      <c r="E52" s="14" t="str">
        <f t="shared" si="2"/>
        <v/>
      </c>
    </row>
    <row r="53" ht="15.75" customHeight="1">
      <c r="A53" s="12"/>
      <c r="B53" s="12"/>
      <c r="C53" s="12"/>
      <c r="D53" s="12"/>
      <c r="E53" s="14" t="str">
        <f t="shared" si="2"/>
        <v/>
      </c>
    </row>
    <row r="54" ht="15.75" customHeight="1">
      <c r="A54" s="12"/>
      <c r="B54" s="12"/>
      <c r="C54" s="12"/>
      <c r="D54" s="12"/>
      <c r="E54" s="14" t="str">
        <f t="shared" si="2"/>
        <v/>
      </c>
    </row>
    <row r="55" ht="15.75" customHeight="1">
      <c r="A55" s="12"/>
      <c r="B55" s="12"/>
      <c r="C55" s="12"/>
      <c r="D55" s="12"/>
      <c r="E55" s="14" t="str">
        <f t="shared" si="2"/>
        <v/>
      </c>
    </row>
    <row r="56" ht="15.75" customHeight="1">
      <c r="A56" s="12"/>
      <c r="B56" s="12"/>
      <c r="C56" s="12"/>
      <c r="D56" s="12"/>
      <c r="E56" s="14" t="str">
        <f t="shared" si="2"/>
        <v/>
      </c>
    </row>
    <row r="57" ht="15.75" customHeight="1">
      <c r="A57" s="12"/>
      <c r="B57" s="12"/>
      <c r="C57" s="12"/>
      <c r="D57" s="12"/>
      <c r="E57" s="14" t="str">
        <f t="shared" si="2"/>
        <v/>
      </c>
    </row>
    <row r="58" ht="15.75" customHeight="1">
      <c r="A58" s="12"/>
      <c r="B58" s="12"/>
      <c r="C58" s="12"/>
      <c r="D58" s="12"/>
      <c r="E58" s="14" t="str">
        <f t="shared" si="2"/>
        <v/>
      </c>
    </row>
    <row r="59" ht="15.75" customHeight="1">
      <c r="A59" s="12"/>
      <c r="B59" s="12"/>
      <c r="C59" s="12"/>
      <c r="D59" s="12"/>
      <c r="E59" s="14" t="str">
        <f t="shared" si="2"/>
        <v/>
      </c>
    </row>
    <row r="60" ht="15.75" customHeight="1">
      <c r="A60" s="12"/>
      <c r="B60" s="12"/>
      <c r="C60" s="12"/>
      <c r="D60" s="12"/>
      <c r="E60" s="14" t="str">
        <f t="shared" si="2"/>
        <v/>
      </c>
    </row>
    <row r="61" ht="15.75" customHeight="1">
      <c r="A61" s="12"/>
      <c r="B61" s="12"/>
      <c r="C61" s="12"/>
      <c r="D61" s="12"/>
      <c r="E61" s="14" t="str">
        <f t="shared" si="2"/>
        <v/>
      </c>
    </row>
    <row r="62" ht="15.75" customHeight="1">
      <c r="A62" s="12"/>
      <c r="B62" s="12"/>
      <c r="C62" s="12"/>
      <c r="D62" s="12"/>
      <c r="E62" s="14" t="str">
        <f t="shared" si="2"/>
        <v/>
      </c>
    </row>
    <row r="63" ht="15.75" customHeight="1">
      <c r="A63" s="12"/>
      <c r="B63" s="12"/>
      <c r="C63" s="12"/>
      <c r="D63" s="12"/>
      <c r="E63" s="14" t="str">
        <f t="shared" si="2"/>
        <v/>
      </c>
    </row>
    <row r="64" ht="15.75" customHeight="1">
      <c r="A64" s="12"/>
      <c r="B64" s="12"/>
      <c r="C64" s="12"/>
      <c r="D64" s="12"/>
      <c r="E64" s="14" t="str">
        <f t="shared" si="2"/>
        <v/>
      </c>
    </row>
    <row r="65" ht="15.75" customHeight="1">
      <c r="A65" s="12"/>
      <c r="B65" s="12"/>
      <c r="C65" s="12"/>
      <c r="D65" s="12"/>
      <c r="E65" s="14" t="str">
        <f t="shared" si="2"/>
        <v/>
      </c>
    </row>
    <row r="66" ht="15.75" customHeight="1">
      <c r="A66" s="12"/>
      <c r="B66" s="12"/>
      <c r="C66" s="12"/>
      <c r="D66" s="12"/>
      <c r="E66" s="14" t="str">
        <f t="shared" si="2"/>
        <v/>
      </c>
    </row>
    <row r="67" ht="15.75" customHeight="1">
      <c r="A67" s="12"/>
      <c r="B67" s="12"/>
      <c r="C67" s="12"/>
      <c r="D67" s="12"/>
      <c r="E67" s="14" t="str">
        <f t="shared" si="2"/>
        <v/>
      </c>
    </row>
    <row r="68" ht="15.75" customHeight="1">
      <c r="A68" s="12"/>
      <c r="B68" s="12"/>
      <c r="C68" s="12"/>
      <c r="D68" s="12"/>
      <c r="E68" s="14" t="str">
        <f t="shared" si="2"/>
        <v/>
      </c>
    </row>
    <row r="69" ht="15.75" customHeight="1">
      <c r="A69" s="12"/>
      <c r="B69" s="12"/>
      <c r="C69" s="12"/>
      <c r="D69" s="12"/>
      <c r="E69" s="14" t="str">
        <f t="shared" si="2"/>
        <v/>
      </c>
    </row>
    <row r="70" ht="15.75" customHeight="1">
      <c r="A70" s="12"/>
      <c r="B70" s="12"/>
      <c r="C70" s="12"/>
      <c r="D70" s="12"/>
      <c r="E70" s="14" t="str">
        <f t="shared" si="2"/>
        <v/>
      </c>
    </row>
    <row r="71" ht="15.75" customHeight="1">
      <c r="A71" s="12"/>
      <c r="B71" s="12"/>
      <c r="C71" s="12"/>
      <c r="D71" s="12"/>
      <c r="E71" s="14" t="str">
        <f t="shared" si="2"/>
        <v/>
      </c>
    </row>
    <row r="72" ht="15.75" customHeight="1">
      <c r="A72" s="12"/>
      <c r="B72" s="12"/>
      <c r="C72" s="12"/>
      <c r="D72" s="12"/>
      <c r="E72" s="14" t="str">
        <f t="shared" si="2"/>
        <v/>
      </c>
    </row>
    <row r="73" ht="15.75" customHeight="1">
      <c r="A73" s="12"/>
      <c r="B73" s="12"/>
      <c r="C73" s="12"/>
      <c r="D73" s="12"/>
      <c r="E73" s="14" t="str">
        <f t="shared" si="2"/>
        <v/>
      </c>
    </row>
    <row r="74" ht="15.75" customHeight="1">
      <c r="A74" s="12"/>
      <c r="B74" s="12"/>
      <c r="C74" s="12"/>
      <c r="D74" s="12"/>
      <c r="E74" s="14" t="str">
        <f t="shared" si="2"/>
        <v/>
      </c>
    </row>
    <row r="75" ht="15.75" customHeight="1">
      <c r="A75" s="12"/>
      <c r="B75" s="12"/>
      <c r="C75" s="12"/>
      <c r="D75" s="12"/>
      <c r="E75" s="14" t="str">
        <f t="shared" si="2"/>
        <v/>
      </c>
    </row>
    <row r="76" ht="15.75" customHeight="1">
      <c r="A76" s="12"/>
      <c r="B76" s="12"/>
      <c r="C76" s="12"/>
      <c r="D76" s="12"/>
      <c r="E76" s="14" t="str">
        <f t="shared" si="2"/>
        <v/>
      </c>
    </row>
    <row r="77" ht="15.75" customHeight="1">
      <c r="A77" s="12"/>
      <c r="B77" s="12"/>
      <c r="C77" s="12"/>
      <c r="D77" s="12"/>
      <c r="E77" s="14" t="str">
        <f t="shared" si="2"/>
        <v/>
      </c>
    </row>
    <row r="78" ht="15.75" customHeight="1">
      <c r="A78" s="12"/>
      <c r="B78" s="12"/>
      <c r="C78" s="12"/>
      <c r="D78" s="12"/>
      <c r="E78" s="14" t="str">
        <f t="shared" si="2"/>
        <v/>
      </c>
    </row>
    <row r="79" ht="15.75" customHeight="1">
      <c r="A79" s="12"/>
      <c r="B79" s="12"/>
      <c r="C79" s="12"/>
      <c r="D79" s="12"/>
      <c r="E79" s="14" t="str">
        <f t="shared" si="2"/>
        <v/>
      </c>
    </row>
    <row r="80" ht="15.75" customHeight="1">
      <c r="A80" s="12"/>
      <c r="B80" s="12"/>
      <c r="C80" s="12"/>
      <c r="D80" s="12"/>
      <c r="E80" s="14" t="str">
        <f t="shared" si="2"/>
        <v/>
      </c>
    </row>
    <row r="81" ht="15.75" customHeight="1">
      <c r="A81" s="12"/>
      <c r="B81" s="12"/>
      <c r="C81" s="12"/>
      <c r="D81" s="12"/>
      <c r="E81" s="14" t="str">
        <f t="shared" si="2"/>
        <v/>
      </c>
    </row>
    <row r="82" ht="15.75" customHeight="1">
      <c r="A82" s="12"/>
      <c r="B82" s="12"/>
      <c r="C82" s="12"/>
      <c r="D82" s="12"/>
      <c r="E82" s="14" t="str">
        <f t="shared" si="2"/>
        <v/>
      </c>
    </row>
    <row r="83" ht="15.75" customHeight="1">
      <c r="A83" s="12"/>
      <c r="B83" s="12"/>
      <c r="C83" s="12"/>
      <c r="D83" s="12"/>
      <c r="E83" s="14" t="str">
        <f t="shared" si="2"/>
        <v/>
      </c>
    </row>
    <row r="84" ht="15.75" customHeight="1">
      <c r="A84" s="12"/>
      <c r="B84" s="12"/>
      <c r="C84" s="12"/>
      <c r="D84" s="12"/>
      <c r="E84" s="14" t="str">
        <f t="shared" si="2"/>
        <v/>
      </c>
    </row>
    <row r="85" ht="15.75" customHeight="1">
      <c r="A85" s="12"/>
      <c r="B85" s="12"/>
      <c r="C85" s="12"/>
      <c r="D85" s="12"/>
      <c r="E85" s="14" t="str">
        <f t="shared" si="2"/>
        <v/>
      </c>
    </row>
    <row r="86" ht="15.75" customHeight="1">
      <c r="A86" s="12"/>
      <c r="B86" s="12"/>
      <c r="C86" s="12"/>
      <c r="D86" s="12"/>
      <c r="E86" s="14" t="str">
        <f t="shared" si="2"/>
        <v/>
      </c>
    </row>
    <row r="87" ht="15.75" customHeight="1">
      <c r="A87" s="12"/>
      <c r="B87" s="12"/>
      <c r="C87" s="12"/>
      <c r="D87" s="12"/>
      <c r="E87" s="14" t="str">
        <f t="shared" si="2"/>
        <v/>
      </c>
    </row>
    <row r="88" ht="15.75" customHeight="1">
      <c r="A88" s="12"/>
      <c r="B88" s="12"/>
      <c r="C88" s="12"/>
      <c r="D88" s="12"/>
      <c r="E88" s="14" t="str">
        <f t="shared" si="2"/>
        <v/>
      </c>
    </row>
    <row r="89" ht="15.75" customHeight="1">
      <c r="A89" s="12"/>
      <c r="B89" s="12"/>
      <c r="C89" s="12"/>
      <c r="D89" s="12"/>
      <c r="E89" s="14" t="str">
        <f t="shared" si="2"/>
        <v/>
      </c>
    </row>
    <row r="90" ht="15.75" customHeight="1">
      <c r="A90" s="12"/>
      <c r="B90" s="12"/>
      <c r="C90" s="12"/>
      <c r="D90" s="12"/>
      <c r="E90" s="14" t="str">
        <f t="shared" si="2"/>
        <v/>
      </c>
    </row>
    <row r="91" ht="15.75" customHeight="1">
      <c r="A91" s="12"/>
      <c r="B91" s="12"/>
      <c r="C91" s="12"/>
      <c r="D91" s="12"/>
      <c r="E91" s="14" t="str">
        <f t="shared" si="2"/>
        <v/>
      </c>
    </row>
    <row r="92" ht="15.75" customHeight="1">
      <c r="A92" s="12"/>
      <c r="B92" s="12"/>
      <c r="C92" s="12"/>
      <c r="D92" s="12"/>
      <c r="E92" s="14" t="str">
        <f t="shared" si="2"/>
        <v/>
      </c>
    </row>
    <row r="93" ht="15.75" customHeight="1">
      <c r="A93" s="12"/>
      <c r="B93" s="12"/>
      <c r="C93" s="12"/>
      <c r="D93" s="12"/>
      <c r="E93" s="14" t="str">
        <f t="shared" si="2"/>
        <v/>
      </c>
    </row>
    <row r="94" ht="15.75" customHeight="1">
      <c r="A94" s="12"/>
      <c r="B94" s="12"/>
      <c r="C94" s="12"/>
      <c r="D94" s="12"/>
      <c r="E94" s="14" t="str">
        <f t="shared" si="2"/>
        <v/>
      </c>
    </row>
    <row r="95" ht="15.75" customHeight="1">
      <c r="A95" s="12"/>
      <c r="B95" s="12"/>
      <c r="C95" s="12"/>
      <c r="D95" s="12"/>
      <c r="E95" s="14" t="str">
        <f t="shared" si="2"/>
        <v/>
      </c>
    </row>
    <row r="96" ht="15.75" customHeight="1">
      <c r="A96" s="12"/>
      <c r="B96" s="12"/>
      <c r="C96" s="12"/>
      <c r="D96" s="12"/>
      <c r="E96" s="14" t="str">
        <f t="shared" si="2"/>
        <v/>
      </c>
    </row>
    <row r="97" ht="15.75" customHeight="1">
      <c r="A97" s="12"/>
      <c r="B97" s="12"/>
      <c r="C97" s="12"/>
      <c r="D97" s="12"/>
      <c r="E97" s="14" t="str">
        <f t="shared" si="2"/>
        <v/>
      </c>
    </row>
    <row r="98" ht="15.75" customHeight="1">
      <c r="A98" s="12"/>
      <c r="B98" s="12"/>
      <c r="C98" s="12"/>
      <c r="D98" s="12"/>
      <c r="E98" s="14" t="str">
        <f t="shared" si="2"/>
        <v/>
      </c>
    </row>
    <row r="99" ht="15.75" customHeight="1">
      <c r="A99" s="12"/>
      <c r="B99" s="12"/>
      <c r="C99" s="12"/>
      <c r="D99" s="12"/>
      <c r="E99" s="14" t="str">
        <f t="shared" si="2"/>
        <v/>
      </c>
    </row>
    <row r="100" ht="15.75" customHeight="1">
      <c r="A100" s="12"/>
      <c r="B100" s="12"/>
      <c r="C100" s="12"/>
      <c r="D100" s="12"/>
      <c r="E100" s="14" t="str">
        <f t="shared" si="2"/>
        <v/>
      </c>
    </row>
    <row r="101" ht="15.75" customHeight="1">
      <c r="A101" s="12"/>
      <c r="B101" s="12"/>
      <c r="C101" s="12"/>
      <c r="D101" s="12"/>
      <c r="E101" s="14" t="str">
        <f t="shared" si="2"/>
        <v/>
      </c>
    </row>
    <row r="102" ht="15.75" customHeight="1">
      <c r="A102" s="12"/>
      <c r="B102" s="12"/>
      <c r="C102" s="12"/>
      <c r="D102" s="12"/>
      <c r="E102" s="14" t="str">
        <f t="shared" si="2"/>
        <v/>
      </c>
    </row>
    <row r="103" ht="15.75" customHeight="1">
      <c r="A103" s="12"/>
      <c r="B103" s="12"/>
      <c r="C103" s="12"/>
      <c r="D103" s="12"/>
      <c r="E103" s="14" t="str">
        <f t="shared" si="2"/>
        <v/>
      </c>
    </row>
    <row r="104" ht="15.75" customHeight="1">
      <c r="A104" s="12"/>
      <c r="B104" s="12"/>
      <c r="C104" s="12"/>
      <c r="D104" s="12"/>
      <c r="E104" s="14" t="str">
        <f t="shared" si="2"/>
        <v/>
      </c>
    </row>
    <row r="105" ht="15.75" customHeight="1">
      <c r="A105" s="12"/>
      <c r="B105" s="12"/>
      <c r="C105" s="12"/>
      <c r="D105" s="12"/>
      <c r="E105" s="14" t="str">
        <f t="shared" si="2"/>
        <v/>
      </c>
    </row>
    <row r="106" ht="15.75" customHeight="1">
      <c r="A106" s="12"/>
      <c r="B106" s="12"/>
      <c r="C106" s="12"/>
      <c r="D106" s="12"/>
      <c r="E106" s="14" t="str">
        <f t="shared" si="2"/>
        <v/>
      </c>
    </row>
    <row r="107" ht="15.75" customHeight="1">
      <c r="A107" s="12"/>
      <c r="B107" s="12"/>
      <c r="C107" s="12"/>
      <c r="D107" s="12"/>
      <c r="E107" s="14" t="str">
        <f t="shared" si="2"/>
        <v/>
      </c>
    </row>
    <row r="108" ht="15.75" customHeight="1">
      <c r="A108" s="12"/>
      <c r="B108" s="12"/>
      <c r="C108" s="12"/>
      <c r="D108" s="12"/>
      <c r="E108" s="14" t="str">
        <f t="shared" si="2"/>
        <v/>
      </c>
    </row>
    <row r="109" ht="15.75" customHeight="1">
      <c r="A109" s="12"/>
      <c r="B109" s="12"/>
      <c r="C109" s="12"/>
      <c r="D109" s="12"/>
      <c r="E109" s="14" t="str">
        <f t="shared" si="2"/>
        <v/>
      </c>
    </row>
    <row r="110" ht="15.75" customHeight="1">
      <c r="A110" s="12"/>
      <c r="B110" s="12"/>
      <c r="C110" s="12"/>
      <c r="D110" s="12"/>
      <c r="E110" s="14" t="str">
        <f t="shared" si="2"/>
        <v/>
      </c>
    </row>
    <row r="111" ht="15.75" customHeight="1">
      <c r="A111" s="12"/>
      <c r="B111" s="12"/>
      <c r="C111" s="12"/>
      <c r="D111" s="12"/>
      <c r="E111" s="14" t="str">
        <f t="shared" si="2"/>
        <v/>
      </c>
    </row>
    <row r="112" ht="15.75" customHeight="1">
      <c r="A112" s="12"/>
      <c r="B112" s="12"/>
      <c r="C112" s="12"/>
      <c r="D112" s="12"/>
      <c r="E112" s="14" t="str">
        <f t="shared" si="2"/>
        <v/>
      </c>
    </row>
    <row r="113" ht="15.75" customHeight="1">
      <c r="A113" s="12"/>
      <c r="B113" s="12"/>
      <c r="C113" s="12"/>
      <c r="D113" s="12"/>
      <c r="E113" s="14" t="str">
        <f t="shared" si="2"/>
        <v/>
      </c>
    </row>
    <row r="114" ht="15.75" customHeight="1">
      <c r="A114" s="12"/>
      <c r="B114" s="12"/>
      <c r="C114" s="12"/>
      <c r="D114" s="12"/>
      <c r="E114" s="14" t="str">
        <f t="shared" si="2"/>
        <v/>
      </c>
    </row>
    <row r="115" ht="15.75" customHeight="1">
      <c r="A115" s="12"/>
      <c r="B115" s="12"/>
      <c r="C115" s="12"/>
      <c r="D115" s="12"/>
      <c r="E115" s="14" t="str">
        <f t="shared" si="2"/>
        <v/>
      </c>
    </row>
    <row r="116" ht="15.75" customHeight="1">
      <c r="A116" s="12"/>
      <c r="B116" s="12"/>
      <c r="C116" s="12"/>
      <c r="D116" s="12"/>
      <c r="E116" s="14" t="str">
        <f t="shared" si="2"/>
        <v/>
      </c>
    </row>
    <row r="117" ht="15.75" customHeight="1">
      <c r="A117" s="12"/>
      <c r="B117" s="12"/>
      <c r="C117" s="12"/>
      <c r="D117" s="12"/>
      <c r="E117" s="14" t="str">
        <f t="shared" si="2"/>
        <v/>
      </c>
    </row>
    <row r="118" ht="15.75" customHeight="1">
      <c r="A118" s="12"/>
      <c r="B118" s="12"/>
      <c r="C118" s="12"/>
      <c r="D118" s="12"/>
      <c r="E118" s="14" t="str">
        <f t="shared" si="2"/>
        <v/>
      </c>
    </row>
    <row r="119" ht="15.75" customHeight="1">
      <c r="A119" s="12"/>
      <c r="B119" s="12"/>
      <c r="C119" s="12"/>
      <c r="D119" s="12"/>
      <c r="E119" s="14" t="str">
        <f t="shared" si="2"/>
        <v/>
      </c>
    </row>
    <row r="120" ht="15.75" customHeight="1">
      <c r="A120" s="12"/>
      <c r="B120" s="12"/>
      <c r="C120" s="12"/>
      <c r="D120" s="12"/>
      <c r="E120" s="14" t="str">
        <f t="shared" si="2"/>
        <v/>
      </c>
    </row>
    <row r="121" ht="15.75" customHeight="1">
      <c r="A121" s="12"/>
      <c r="B121" s="12"/>
      <c r="C121" s="12"/>
      <c r="D121" s="12"/>
      <c r="E121" s="14" t="str">
        <f t="shared" si="2"/>
        <v/>
      </c>
    </row>
    <row r="122" ht="15.75" customHeight="1">
      <c r="A122" s="12"/>
      <c r="B122" s="12"/>
      <c r="C122" s="12"/>
      <c r="D122" s="12"/>
      <c r="E122" s="14" t="str">
        <f t="shared" si="2"/>
        <v/>
      </c>
    </row>
    <row r="123" ht="15.75" customHeight="1">
      <c r="A123" s="12"/>
      <c r="B123" s="12"/>
      <c r="C123" s="12"/>
      <c r="D123" s="12"/>
      <c r="E123" s="14" t="str">
        <f t="shared" si="2"/>
        <v/>
      </c>
    </row>
    <row r="124" ht="15.75" customHeight="1">
      <c r="A124" s="12"/>
      <c r="B124" s="12"/>
      <c r="C124" s="12"/>
      <c r="D124" s="12"/>
      <c r="E124" s="14" t="str">
        <f t="shared" si="2"/>
        <v/>
      </c>
    </row>
    <row r="125" ht="15.75" customHeight="1">
      <c r="A125" s="12"/>
      <c r="B125" s="12"/>
      <c r="C125" s="12"/>
      <c r="D125" s="12"/>
      <c r="E125" s="14" t="str">
        <f t="shared" si="2"/>
        <v/>
      </c>
    </row>
    <row r="126" ht="15.75" customHeight="1">
      <c r="A126" s="12"/>
      <c r="B126" s="12"/>
      <c r="C126" s="12"/>
      <c r="D126" s="12"/>
      <c r="E126" s="14" t="str">
        <f t="shared" si="2"/>
        <v/>
      </c>
    </row>
    <row r="127" ht="15.75" customHeight="1">
      <c r="A127" s="12"/>
      <c r="B127" s="12"/>
      <c r="C127" s="12"/>
      <c r="D127" s="12"/>
      <c r="E127" s="14" t="str">
        <f t="shared" si="2"/>
        <v/>
      </c>
    </row>
    <row r="128" ht="15.75" customHeight="1">
      <c r="A128" s="12"/>
      <c r="B128" s="12"/>
      <c r="C128" s="12"/>
      <c r="D128" s="12"/>
      <c r="E128" s="14" t="str">
        <f t="shared" si="2"/>
        <v/>
      </c>
    </row>
    <row r="129" ht="15.75" customHeight="1">
      <c r="A129" s="12"/>
      <c r="B129" s="12"/>
      <c r="C129" s="12"/>
      <c r="D129" s="12"/>
      <c r="E129" s="14" t="str">
        <f t="shared" si="2"/>
        <v/>
      </c>
    </row>
    <row r="130" ht="15.75" customHeight="1">
      <c r="A130" s="12"/>
      <c r="B130" s="12"/>
      <c r="C130" s="12"/>
      <c r="D130" s="12"/>
      <c r="E130" s="14" t="str">
        <f t="shared" si="2"/>
        <v/>
      </c>
    </row>
    <row r="131" ht="15.75" customHeight="1">
      <c r="A131" s="12"/>
      <c r="B131" s="12"/>
      <c r="C131" s="12"/>
      <c r="D131" s="12"/>
      <c r="E131" s="14" t="str">
        <f t="shared" si="2"/>
        <v/>
      </c>
    </row>
    <row r="132" ht="15.75" customHeight="1">
      <c r="A132" s="12"/>
      <c r="B132" s="12"/>
      <c r="C132" s="12"/>
      <c r="D132" s="12"/>
      <c r="E132" s="14" t="str">
        <f t="shared" si="2"/>
        <v/>
      </c>
    </row>
    <row r="133" ht="15.75" customHeight="1">
      <c r="A133" s="12"/>
      <c r="B133" s="12"/>
      <c r="C133" s="12"/>
      <c r="D133" s="12"/>
      <c r="E133" s="14" t="str">
        <f t="shared" si="2"/>
        <v/>
      </c>
    </row>
    <row r="134" ht="15.75" customHeight="1">
      <c r="A134" s="12"/>
      <c r="B134" s="12"/>
      <c r="C134" s="12"/>
      <c r="D134" s="12"/>
      <c r="E134" s="14" t="str">
        <f t="shared" si="2"/>
        <v/>
      </c>
    </row>
    <row r="135" ht="15.75" customHeight="1">
      <c r="A135" s="12"/>
      <c r="B135" s="12"/>
      <c r="C135" s="12"/>
      <c r="D135" s="12"/>
      <c r="E135" s="14" t="str">
        <f t="shared" si="2"/>
        <v/>
      </c>
    </row>
    <row r="136" ht="15.75" customHeight="1">
      <c r="A136" s="12"/>
      <c r="B136" s="12"/>
      <c r="C136" s="12"/>
      <c r="D136" s="12"/>
      <c r="E136" s="14" t="str">
        <f t="shared" si="2"/>
        <v/>
      </c>
    </row>
    <row r="137" ht="15.75" customHeight="1">
      <c r="A137" s="12"/>
      <c r="B137" s="12"/>
      <c r="C137" s="12"/>
      <c r="D137" s="12"/>
      <c r="E137" s="14" t="str">
        <f t="shared" si="2"/>
        <v/>
      </c>
    </row>
    <row r="138" ht="15.75" customHeight="1">
      <c r="A138" s="12"/>
      <c r="B138" s="12"/>
      <c r="C138" s="12"/>
      <c r="D138" s="12"/>
      <c r="E138" s="14" t="str">
        <f t="shared" si="2"/>
        <v/>
      </c>
    </row>
    <row r="139" ht="15.75" customHeight="1">
      <c r="A139" s="12"/>
      <c r="B139" s="12"/>
      <c r="C139" s="12"/>
      <c r="D139" s="12"/>
      <c r="E139" s="14" t="str">
        <f t="shared" si="2"/>
        <v/>
      </c>
    </row>
    <row r="140" ht="15.75" customHeight="1">
      <c r="A140" s="12"/>
      <c r="B140" s="12"/>
      <c r="C140" s="12"/>
      <c r="D140" s="12"/>
      <c r="E140" s="14" t="str">
        <f t="shared" si="2"/>
        <v/>
      </c>
    </row>
    <row r="141" ht="15.75" customHeight="1">
      <c r="A141" s="12"/>
      <c r="B141" s="12"/>
      <c r="C141" s="12"/>
      <c r="D141" s="12"/>
      <c r="E141" s="14" t="str">
        <f t="shared" si="2"/>
        <v/>
      </c>
    </row>
    <row r="142" ht="15.75" customHeight="1">
      <c r="A142" s="12"/>
      <c r="B142" s="12"/>
      <c r="C142" s="12"/>
      <c r="D142" s="12"/>
      <c r="E142" s="14" t="str">
        <f t="shared" si="2"/>
        <v/>
      </c>
    </row>
    <row r="143" ht="15.75" customHeight="1">
      <c r="A143" s="12"/>
      <c r="B143" s="12"/>
      <c r="C143" s="12"/>
      <c r="D143" s="12"/>
      <c r="E143" s="14" t="str">
        <f t="shared" si="2"/>
        <v/>
      </c>
    </row>
    <row r="144" ht="15.75" customHeight="1">
      <c r="A144" s="12"/>
      <c r="B144" s="12"/>
      <c r="C144" s="12"/>
      <c r="D144" s="12"/>
      <c r="E144" s="14" t="str">
        <f t="shared" si="2"/>
        <v/>
      </c>
    </row>
    <row r="145" ht="15.75" customHeight="1">
      <c r="A145" s="12"/>
      <c r="B145" s="12"/>
      <c r="C145" s="12"/>
      <c r="D145" s="12"/>
      <c r="E145" s="14" t="str">
        <f t="shared" si="2"/>
        <v/>
      </c>
    </row>
    <row r="146" ht="15.75" customHeight="1">
      <c r="A146" s="12"/>
      <c r="B146" s="12"/>
      <c r="C146" s="12"/>
      <c r="D146" s="12"/>
      <c r="E146" s="14" t="str">
        <f t="shared" si="2"/>
        <v/>
      </c>
    </row>
    <row r="147" ht="15.75" customHeight="1">
      <c r="A147" s="12"/>
      <c r="B147" s="12"/>
      <c r="C147" s="12"/>
      <c r="D147" s="12"/>
      <c r="E147" s="14" t="str">
        <f t="shared" si="2"/>
        <v/>
      </c>
    </row>
    <row r="148" ht="15.75" customHeight="1">
      <c r="A148" s="12"/>
      <c r="B148" s="12"/>
      <c r="C148" s="12"/>
      <c r="D148" s="12"/>
      <c r="E148" s="14" t="str">
        <f t="shared" si="2"/>
        <v/>
      </c>
    </row>
    <row r="149" ht="15.75" customHeight="1">
      <c r="A149" s="12"/>
      <c r="B149" s="12"/>
      <c r="C149" s="12"/>
      <c r="D149" s="12"/>
      <c r="E149" s="14" t="str">
        <f t="shared" si="2"/>
        <v/>
      </c>
    </row>
    <row r="150" ht="15.75" customHeight="1">
      <c r="A150" s="12"/>
      <c r="B150" s="12"/>
      <c r="C150" s="12"/>
      <c r="D150" s="12"/>
      <c r="E150" s="14" t="str">
        <f t="shared" si="2"/>
        <v/>
      </c>
    </row>
    <row r="151" ht="15.75" customHeight="1">
      <c r="A151" s="12"/>
      <c r="B151" s="12"/>
      <c r="C151" s="12"/>
      <c r="D151" s="12"/>
      <c r="E151" s="14" t="str">
        <f t="shared" si="2"/>
        <v/>
      </c>
    </row>
    <row r="152" ht="15.75" customHeight="1">
      <c r="A152" s="12"/>
      <c r="B152" s="12"/>
      <c r="C152" s="12"/>
      <c r="D152" s="12"/>
      <c r="E152" s="14" t="str">
        <f t="shared" si="2"/>
        <v/>
      </c>
    </row>
    <row r="153" ht="15.75" customHeight="1">
      <c r="A153" s="12"/>
      <c r="B153" s="12"/>
      <c r="C153" s="12"/>
      <c r="D153" s="12"/>
      <c r="E153" s="14" t="str">
        <f t="shared" si="2"/>
        <v/>
      </c>
    </row>
    <row r="154" ht="15.75" customHeight="1">
      <c r="A154" s="12"/>
      <c r="B154" s="12"/>
      <c r="C154" s="12"/>
      <c r="D154" s="12"/>
      <c r="E154" s="14" t="str">
        <f t="shared" si="2"/>
        <v/>
      </c>
    </row>
    <row r="155" ht="15.75" customHeight="1">
      <c r="A155" s="12"/>
      <c r="B155" s="12"/>
      <c r="C155" s="12"/>
      <c r="D155" s="12"/>
      <c r="E155" s="14" t="str">
        <f t="shared" si="2"/>
        <v/>
      </c>
    </row>
    <row r="156" ht="15.75" customHeight="1">
      <c r="A156" s="12"/>
      <c r="B156" s="12"/>
      <c r="C156" s="12"/>
      <c r="D156" s="12"/>
      <c r="E156" s="14" t="str">
        <f t="shared" si="2"/>
        <v/>
      </c>
    </row>
    <row r="157" ht="15.75" customHeight="1">
      <c r="A157" s="12"/>
      <c r="B157" s="12"/>
      <c r="C157" s="12"/>
      <c r="D157" s="12"/>
      <c r="E157" s="14" t="str">
        <f t="shared" si="2"/>
        <v/>
      </c>
    </row>
    <row r="158" ht="15.75" customHeight="1">
      <c r="A158" s="12"/>
      <c r="B158" s="12"/>
      <c r="C158" s="12"/>
      <c r="D158" s="12"/>
      <c r="E158" s="14" t="str">
        <f t="shared" si="2"/>
        <v/>
      </c>
    </row>
    <row r="159" ht="15.75" customHeight="1">
      <c r="A159" s="12"/>
      <c r="B159" s="12"/>
      <c r="C159" s="12"/>
      <c r="D159" s="12"/>
      <c r="E159" s="14" t="str">
        <f t="shared" si="2"/>
        <v/>
      </c>
    </row>
    <row r="160" ht="15.75" customHeight="1">
      <c r="A160" s="12"/>
      <c r="B160" s="12"/>
      <c r="C160" s="12"/>
      <c r="D160" s="12"/>
      <c r="E160" s="14" t="str">
        <f t="shared" si="2"/>
        <v/>
      </c>
    </row>
    <row r="161" ht="15.75" customHeight="1">
      <c r="A161" s="12"/>
      <c r="B161" s="12"/>
      <c r="C161" s="12"/>
      <c r="D161" s="12"/>
      <c r="E161" s="14" t="str">
        <f t="shared" si="2"/>
        <v/>
      </c>
    </row>
    <row r="162" ht="15.75" customHeight="1">
      <c r="A162" s="12"/>
      <c r="B162" s="12"/>
      <c r="C162" s="12"/>
      <c r="D162" s="12"/>
      <c r="E162" s="14" t="str">
        <f t="shared" si="2"/>
        <v/>
      </c>
    </row>
    <row r="163" ht="15.75" customHeight="1">
      <c r="A163" s="12"/>
      <c r="B163" s="12"/>
      <c r="C163" s="12"/>
      <c r="D163" s="12"/>
      <c r="E163" s="14" t="str">
        <f t="shared" si="2"/>
        <v/>
      </c>
    </row>
    <row r="164" ht="15.75" customHeight="1">
      <c r="A164" s="12"/>
      <c r="B164" s="12"/>
      <c r="C164" s="12"/>
      <c r="D164" s="12"/>
      <c r="E164" s="14" t="str">
        <f t="shared" si="2"/>
        <v/>
      </c>
    </row>
    <row r="165" ht="15.75" customHeight="1">
      <c r="A165" s="12"/>
      <c r="B165" s="12"/>
      <c r="C165" s="12"/>
      <c r="D165" s="12"/>
      <c r="E165" s="14" t="str">
        <f t="shared" si="2"/>
        <v/>
      </c>
    </row>
    <row r="166" ht="15.75" customHeight="1">
      <c r="A166" s="12"/>
      <c r="B166" s="12"/>
      <c r="C166" s="12"/>
      <c r="D166" s="12"/>
      <c r="E166" s="14" t="str">
        <f t="shared" si="2"/>
        <v/>
      </c>
    </row>
    <row r="167" ht="15.75" customHeight="1">
      <c r="A167" s="12"/>
      <c r="B167" s="12"/>
      <c r="C167" s="12"/>
      <c r="D167" s="12"/>
      <c r="E167" s="14" t="str">
        <f t="shared" si="2"/>
        <v/>
      </c>
    </row>
    <row r="168" ht="15.75" customHeight="1">
      <c r="A168" s="12"/>
      <c r="B168" s="12"/>
      <c r="C168" s="12"/>
      <c r="D168" s="12"/>
      <c r="E168" s="14" t="str">
        <f t="shared" si="2"/>
        <v/>
      </c>
    </row>
    <row r="169" ht="15.75" customHeight="1">
      <c r="A169" s="12"/>
      <c r="B169" s="12"/>
      <c r="C169" s="12"/>
      <c r="D169" s="12"/>
      <c r="E169" s="14" t="str">
        <f t="shared" si="2"/>
        <v/>
      </c>
    </row>
    <row r="170" ht="15.75" customHeight="1">
      <c r="A170" s="12"/>
      <c r="B170" s="12"/>
      <c r="C170" s="12"/>
      <c r="D170" s="12"/>
      <c r="E170" s="14" t="str">
        <f t="shared" si="2"/>
        <v/>
      </c>
    </row>
    <row r="171" ht="15.75" customHeight="1">
      <c r="A171" s="12"/>
      <c r="B171" s="12"/>
      <c r="C171" s="12"/>
      <c r="D171" s="12"/>
      <c r="E171" s="14" t="str">
        <f t="shared" si="2"/>
        <v/>
      </c>
    </row>
    <row r="172" ht="15.75" customHeight="1">
      <c r="A172" s="12"/>
      <c r="B172" s="12"/>
      <c r="C172" s="12"/>
      <c r="D172" s="12"/>
      <c r="E172" s="14" t="str">
        <f t="shared" si="2"/>
        <v/>
      </c>
    </row>
    <row r="173" ht="15.75" customHeight="1">
      <c r="A173" s="12"/>
      <c r="B173" s="12"/>
      <c r="C173" s="12"/>
      <c r="D173" s="12"/>
      <c r="E173" s="14" t="str">
        <f t="shared" si="2"/>
        <v/>
      </c>
    </row>
    <row r="174" ht="15.75" customHeight="1">
      <c r="A174" s="12"/>
      <c r="B174" s="12"/>
      <c r="C174" s="12"/>
      <c r="D174" s="12"/>
      <c r="E174" s="14" t="str">
        <f t="shared" si="2"/>
        <v/>
      </c>
    </row>
    <row r="175" ht="15.75" customHeight="1">
      <c r="A175" s="12"/>
      <c r="B175" s="12"/>
      <c r="C175" s="12"/>
      <c r="D175" s="12"/>
      <c r="E175" s="14" t="str">
        <f t="shared" si="2"/>
        <v/>
      </c>
    </row>
    <row r="176" ht="15.75" customHeight="1">
      <c r="A176" s="12"/>
      <c r="B176" s="12"/>
      <c r="C176" s="12"/>
      <c r="D176" s="12"/>
      <c r="E176" s="14" t="str">
        <f t="shared" si="2"/>
        <v/>
      </c>
    </row>
    <row r="177" ht="15.75" customHeight="1">
      <c r="A177" s="12"/>
      <c r="B177" s="12"/>
      <c r="C177" s="12"/>
      <c r="D177" s="12"/>
      <c r="E177" s="14" t="str">
        <f t="shared" si="2"/>
        <v/>
      </c>
    </row>
    <row r="178" ht="15.75" customHeight="1">
      <c r="A178" s="12"/>
      <c r="B178" s="12"/>
      <c r="C178" s="12"/>
      <c r="D178" s="12"/>
      <c r="E178" s="14" t="str">
        <f t="shared" si="2"/>
        <v/>
      </c>
    </row>
    <row r="179" ht="15.75" customHeight="1">
      <c r="A179" s="12"/>
      <c r="B179" s="12"/>
      <c r="C179" s="12"/>
      <c r="D179" s="12"/>
      <c r="E179" s="14" t="str">
        <f t="shared" si="2"/>
        <v/>
      </c>
    </row>
    <row r="180" ht="15.75" customHeight="1">
      <c r="A180" s="12"/>
      <c r="B180" s="12"/>
      <c r="C180" s="12"/>
      <c r="D180" s="12"/>
      <c r="E180" s="14" t="str">
        <f t="shared" si="2"/>
        <v/>
      </c>
    </row>
    <row r="181" ht="15.75" customHeight="1">
      <c r="A181" s="12"/>
      <c r="B181" s="12"/>
      <c r="C181" s="12"/>
      <c r="D181" s="12"/>
      <c r="E181" s="14" t="str">
        <f t="shared" si="2"/>
        <v/>
      </c>
    </row>
    <row r="182" ht="15.75" customHeight="1">
      <c r="A182" s="12"/>
      <c r="B182" s="12"/>
      <c r="C182" s="12"/>
      <c r="D182" s="12"/>
      <c r="E182" s="14" t="str">
        <f t="shared" si="2"/>
        <v/>
      </c>
    </row>
    <row r="183" ht="15.75" customHeight="1">
      <c r="A183" s="12"/>
      <c r="B183" s="12"/>
      <c r="C183" s="12"/>
      <c r="D183" s="12"/>
      <c r="E183" s="14" t="str">
        <f t="shared" si="2"/>
        <v/>
      </c>
    </row>
    <row r="184" ht="15.75" customHeight="1">
      <c r="A184" s="12"/>
      <c r="B184" s="12"/>
      <c r="C184" s="12"/>
      <c r="D184" s="12"/>
      <c r="E184" s="14" t="str">
        <f t="shared" si="2"/>
        <v/>
      </c>
    </row>
    <row r="185" ht="15.75" customHeight="1">
      <c r="A185" s="12"/>
      <c r="B185" s="12"/>
      <c r="C185" s="12"/>
      <c r="D185" s="12"/>
      <c r="E185" s="14" t="str">
        <f t="shared" si="2"/>
        <v/>
      </c>
    </row>
    <row r="186" ht="15.75" customHeight="1">
      <c r="A186" s="12"/>
      <c r="B186" s="12"/>
      <c r="C186" s="12"/>
      <c r="D186" s="12"/>
      <c r="E186" s="14" t="str">
        <f t="shared" si="2"/>
        <v/>
      </c>
    </row>
    <row r="187" ht="15.75" customHeight="1">
      <c r="A187" s="12"/>
      <c r="B187" s="12"/>
      <c r="C187" s="12"/>
      <c r="D187" s="12"/>
      <c r="E187" s="14" t="str">
        <f t="shared" si="2"/>
        <v/>
      </c>
    </row>
    <row r="188" ht="15.75" customHeight="1">
      <c r="A188" s="12"/>
      <c r="B188" s="12"/>
      <c r="C188" s="12"/>
      <c r="D188" s="12"/>
      <c r="E188" s="14" t="str">
        <f t="shared" si="2"/>
        <v/>
      </c>
    </row>
    <row r="189" ht="15.75" customHeight="1">
      <c r="A189" s="12"/>
      <c r="B189" s="12"/>
      <c r="C189" s="12"/>
      <c r="D189" s="12"/>
      <c r="E189" s="14" t="str">
        <f t="shared" si="2"/>
        <v/>
      </c>
    </row>
    <row r="190" ht="15.75" customHeight="1">
      <c r="A190" s="12"/>
      <c r="B190" s="12"/>
      <c r="C190" s="12"/>
      <c r="D190" s="12"/>
      <c r="E190" s="14" t="str">
        <f t="shared" si="2"/>
        <v/>
      </c>
    </row>
    <row r="191" ht="15.75" customHeight="1">
      <c r="A191" s="12"/>
      <c r="B191" s="12"/>
      <c r="C191" s="12"/>
      <c r="D191" s="12"/>
      <c r="E191" s="14" t="str">
        <f t="shared" si="2"/>
        <v/>
      </c>
    </row>
    <row r="192" ht="15.75" customHeight="1">
      <c r="A192" s="12"/>
      <c r="B192" s="12"/>
      <c r="C192" s="12"/>
      <c r="D192" s="12"/>
      <c r="E192" s="14" t="str">
        <f t="shared" si="2"/>
        <v/>
      </c>
    </row>
    <row r="193" ht="15.75" customHeight="1">
      <c r="A193" s="12"/>
      <c r="B193" s="12"/>
      <c r="C193" s="12"/>
      <c r="D193" s="12"/>
      <c r="E193" s="14" t="str">
        <f t="shared" si="2"/>
        <v/>
      </c>
    </row>
    <row r="194" ht="15.75" customHeight="1">
      <c r="A194" s="12"/>
      <c r="B194" s="12"/>
      <c r="C194" s="12"/>
      <c r="D194" s="12"/>
      <c r="E194" s="14" t="str">
        <f t="shared" si="2"/>
        <v/>
      </c>
    </row>
    <row r="195" ht="15.75" customHeight="1">
      <c r="A195" s="12"/>
      <c r="B195" s="12"/>
      <c r="C195" s="12"/>
      <c r="D195" s="12"/>
      <c r="E195" s="14" t="str">
        <f t="shared" si="2"/>
        <v/>
      </c>
    </row>
    <row r="196" ht="15.75" customHeight="1">
      <c r="A196" s="12"/>
      <c r="B196" s="12"/>
      <c r="C196" s="12"/>
      <c r="D196" s="12"/>
      <c r="E196" s="14" t="str">
        <f t="shared" si="2"/>
        <v/>
      </c>
    </row>
    <row r="197" ht="15.75" customHeight="1">
      <c r="A197" s="12"/>
      <c r="B197" s="12"/>
      <c r="C197" s="12"/>
      <c r="D197" s="12"/>
      <c r="E197" s="14" t="str">
        <f t="shared" si="2"/>
        <v/>
      </c>
    </row>
    <row r="198" ht="15.75" customHeight="1">
      <c r="A198" s="12"/>
      <c r="B198" s="12"/>
      <c r="C198" s="12"/>
      <c r="D198" s="12"/>
      <c r="E198" s="14" t="str">
        <f t="shared" si="2"/>
        <v/>
      </c>
    </row>
    <row r="199" ht="15.75" customHeight="1">
      <c r="A199" s="12"/>
      <c r="B199" s="12"/>
      <c r="C199" s="12"/>
      <c r="D199" s="12"/>
      <c r="E199" s="14" t="str">
        <f t="shared" si="2"/>
        <v/>
      </c>
    </row>
    <row r="200" ht="15.75" customHeight="1">
      <c r="A200" s="12"/>
      <c r="B200" s="12"/>
      <c r="C200" s="12"/>
      <c r="D200" s="12"/>
      <c r="E200" s="14" t="str">
        <f t="shared" si="2"/>
        <v/>
      </c>
    </row>
    <row r="201" ht="15.75" customHeight="1">
      <c r="A201" s="12"/>
      <c r="B201" s="12"/>
      <c r="C201" s="12"/>
      <c r="D201" s="12"/>
      <c r="E201" s="14" t="str">
        <f t="shared" si="2"/>
        <v/>
      </c>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A1:E1"/>
    <mergeCell ref="A2:E2"/>
    <mergeCell ref="A3:E3"/>
  </mergeCells>
  <dataValidations>
    <dataValidation type="list" allowBlank="1" showErrorMessage="1" sqref="B5:B201">
      <formula1>"Rajarajeshwari United,Jeem Boom Baa,Dr. Dashamoolam,Thoofan,Dhurandhar,Aaram Thamburan"</formula1>
    </dataValidation>
    <dataValidation type="list" allowBlank="1" showErrorMessage="1" sqref="A5:A201">
      <formula1>"F-GA-01,F-GA-02,F-GA-03,F-GB-01,F-GB-02,F-GB-03,F-SF-01,F-SF-02,F-3P-01,F-F-01"</formula1>
    </dataValidation>
  </dataValidations>
  <printOptions/>
  <pageMargins bottom="1.0" footer="0.0" header="0.0" left="0.75" right="0.75" top="1.0"/>
  <pageSetup orientation="landscape"/>
  <drawing r:id="rId1"/>
</worksheet>
</file>