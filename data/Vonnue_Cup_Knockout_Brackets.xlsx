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tandings" sheetId="2" state="visible" r:id="rId2"/>
    <sheet name="Schedule" sheetId="3" state="visible" r:id="rId3"/>
    <sheet name="Chess" sheetId="4" state="visible" r:id="rId4"/>
    <sheet name="Carroms" sheetId="5" state="visible" r:id="rId5"/>
    <sheet name="TT MS" sheetId="6" state="visible" r:id="rId6"/>
    <sheet name="TT WS" sheetId="7" state="visible" r:id="rId7"/>
    <sheet name="TT MD" sheetId="8" state="visible" r:id="rId8"/>
    <sheet name="TT WD" sheetId="9" state="visible" r:id="rId9"/>
    <sheet name="Badminton MS" sheetId="10" state="visible" r:id="rId10"/>
    <sheet name="Badminton WS" sheetId="11" state="visible" r:id="rId11"/>
    <sheet name="Badminton MD" sheetId="12" state="visible" r:id="rId12"/>
    <sheet name="Badminton WD" sheetId="13" state="visible" r:id="rId13"/>
    <sheet name="Cricket" sheetId="14" state="visible" r:id="rId14"/>
    <sheet name="Football" sheetId="15" state="visible" r:id="rId15"/>
  </sheets>
  <definedNames/>
  <calcPr calcId="124519" fullCalcOnLoad="1"/>
</workbook>
</file>

<file path=xl/styles.xml><?xml version="1.0" encoding="utf-8"?>
<styleSheet xmlns="http://schemas.openxmlformats.org/spreadsheetml/2006/main">
  <numFmts count="0"/>
  <fonts count="23">
    <font>
      <name val="Calibri"/>
      <family val="2"/>
      <color theme="1"/>
      <sz val="11"/>
      <scheme val="minor"/>
    </font>
    <font>
      <name val="Arial"/>
      <b val="1"/>
      <color rgb="00FFFFFF"/>
      <sz val="16"/>
    </font>
    <font>
      <name val="Arial"/>
      <i val="1"/>
      <color rgb="00595959"/>
      <sz val="9"/>
    </font>
    <font>
      <name val="Arial"/>
      <b val="1"/>
      <color rgb="00FFFFFF"/>
      <sz val="10"/>
    </font>
    <font>
      <name val="Arial"/>
      <color rgb="00FFFFFF"/>
      <sz val="8"/>
    </font>
    <font>
      <name val="Arial"/>
      <b val="1"/>
      <color rgb="001F3864"/>
      <sz val="8"/>
    </font>
    <font>
      <name val="Arial"/>
      <color rgb="00595959"/>
      <sz val="8"/>
    </font>
    <font>
      <name val="Arial"/>
      <color rgb="000000FF"/>
      <sz val="10"/>
    </font>
    <font>
      <name val="Arial"/>
      <b val="1"/>
      <color rgb="007F6000"/>
      <sz val="9"/>
    </font>
    <font>
      <name val="Arial"/>
      <b val="1"/>
      <color rgb="000000FF"/>
      <sz val="11"/>
    </font>
    <font>
      <name val="Arial"/>
      <b val="1"/>
      <color rgb="00404040"/>
      <sz val="9"/>
    </font>
    <font>
      <name val="Arial"/>
      <b val="1"/>
      <sz val="11"/>
    </font>
    <font>
      <name val="Arial"/>
      <color rgb="00000000"/>
      <sz val="10"/>
    </font>
    <font>
      <name val="Arial"/>
      <b val="1"/>
      <color rgb="00843C0C"/>
      <sz val="9"/>
    </font>
    <font>
      <name val="Arial"/>
      <b val="1"/>
      <sz val="10"/>
    </font>
    <font>
      <name val="Arial"/>
      <i val="1"/>
      <color rgb="00595959"/>
      <sz val="8"/>
    </font>
    <font>
      <name val="Arial"/>
      <b val="1"/>
      <color rgb="00C00000"/>
      <sz val="9"/>
    </font>
    <font>
      <name val="Arial"/>
      <sz val="10"/>
    </font>
    <font>
      <name val="Arial"/>
      <color rgb="000563C1"/>
      <sz val="10"/>
      <u val="single"/>
    </font>
    <font>
      <name val="Arial"/>
      <b val="1"/>
      <color rgb="00008000"/>
      <sz val="10"/>
    </font>
    <font>
      <name val="Arial"/>
      <b val="1"/>
      <color rgb="001F3864"/>
      <sz val="11"/>
    </font>
    <font>
      <name val="Arial"/>
      <b val="1"/>
      <sz val="12"/>
    </font>
    <font>
      <name val="Arial"/>
      <b val="1"/>
      <color rgb="001F3864"/>
      <sz val="10"/>
    </font>
  </fonts>
  <fills count="12">
    <fill>
      <patternFill/>
    </fill>
    <fill>
      <patternFill patternType="gray125"/>
    </fill>
    <fill>
      <patternFill patternType="solid">
        <fgColor rgb="001F3864"/>
      </patternFill>
    </fill>
    <fill>
      <patternFill patternType="solid">
        <fgColor rgb="002F5597"/>
      </patternFill>
    </fill>
    <fill>
      <patternFill patternType="solid">
        <fgColor rgb="00D9E1F2"/>
      </patternFill>
    </fill>
    <fill>
      <patternFill patternType="solid">
        <fgColor rgb="00FFF2CC"/>
      </patternFill>
    </fill>
    <fill>
      <patternFill patternType="solid">
        <fgColor rgb="00F2F2F2"/>
      </patternFill>
    </fill>
    <fill>
      <patternFill patternType="solid">
        <fgColor rgb="00E2EFDA"/>
      </patternFill>
    </fill>
    <fill>
      <patternFill patternType="solid">
        <fgColor rgb="00FFD966"/>
      </patternFill>
    </fill>
    <fill>
      <patternFill patternType="solid">
        <fgColor rgb="00D9D9D9"/>
      </patternFill>
    </fill>
    <fill>
      <patternFill patternType="solid">
        <fgColor rgb="00F4D9C6"/>
      </patternFill>
    </fill>
    <fill>
      <patternFill patternType="solid">
        <fgColor rgb="00FCE4D6"/>
      </patternFill>
    </fill>
  </fills>
  <borders count="11">
    <border>
      <left/>
      <right/>
      <top/>
      <bottom/>
      <diagonal/>
    </border>
    <border>
      <left style="thin">
        <color rgb="00808080"/>
      </left>
      <right style="thin">
        <color rgb="00808080"/>
      </right>
      <top style="medium">
        <color rgb="001F3864"/>
      </top>
      <bottom style="thin">
        <color rgb="00808080"/>
      </bottom>
    </border>
    <border>
      <right style="thin">
        <color rgb="00808080"/>
      </right>
      <top style="medium">
        <color rgb="001F3864"/>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1F3864"/>
      </bottom>
    </border>
    <border>
      <right/>
      <bottom style="thin">
        <color rgb="00808080"/>
      </bottom>
    </border>
    <border>
      <right style="thin">
        <color rgb="00808080"/>
      </right>
      <bottom/>
    </border>
    <border>
      <left/>
      <right/>
      <top style="thin">
        <color rgb="00808080"/>
      </top>
    </border>
    <border>
      <right style="thin">
        <color rgb="00808080"/>
      </right>
      <bottom style="thin">
        <color rgb="00808080"/>
      </bottom>
    </border>
    <border>
      <bottom style="thin">
        <color rgb="00808080"/>
      </bottom>
    </border>
    <border>
      <top style="thin">
        <color rgb="00808080"/>
      </top>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3" fillId="3" borderId="3" applyAlignment="1" pivotButton="0" quotePrefix="0" xfId="0">
      <alignment horizontal="center" vertical="center"/>
    </xf>
    <xf numFmtId="0" fontId="14" fillId="0" borderId="3" applyAlignment="1" pivotButton="0" quotePrefix="0" xfId="0">
      <alignment horizontal="left" vertical="center" indent="1"/>
    </xf>
    <xf numFmtId="0" fontId="18" fillId="0" borderId="3" applyAlignment="1" pivotButton="0" quotePrefix="0" xfId="0">
      <alignment horizontal="left" vertical="center" indent="1"/>
    </xf>
    <xf numFmtId="0" fontId="17" fillId="0" borderId="3" applyAlignment="1" pivotButton="0" quotePrefix="0" xfId="0">
      <alignment horizontal="center" vertical="center"/>
    </xf>
    <xf numFmtId="0" fontId="19" fillId="0" borderId="3" applyAlignment="1" pivotButton="0" quotePrefix="0" xfId="0">
      <alignment horizontal="left" vertical="center" indent="1"/>
    </xf>
    <xf numFmtId="0" fontId="15" fillId="0" borderId="0" applyAlignment="1" pivotButton="0" quotePrefix="0" xfId="0">
      <alignment horizontal="left" vertical="center" indent="1"/>
    </xf>
    <xf numFmtId="0" fontId="20" fillId="0" borderId="0" applyAlignment="1" pivotButton="0" quotePrefix="0" xfId="0">
      <alignment horizontal="left" vertical="center" indent="1"/>
    </xf>
    <xf numFmtId="0" fontId="14" fillId="4" borderId="3" applyAlignment="1" pivotButton="0" quotePrefix="0" xfId="0">
      <alignment horizontal="center" vertical="center"/>
    </xf>
    <xf numFmtId="0" fontId="7" fillId="5" borderId="3" applyAlignment="1" pivotButton="0" quotePrefix="0" xfId="0">
      <alignment horizontal="center" vertical="center"/>
    </xf>
    <xf numFmtId="0" fontId="12" fillId="0" borderId="3" applyAlignment="1" pivotButton="0" quotePrefix="0" xfId="0">
      <alignment horizontal="center" vertical="center"/>
    </xf>
    <xf numFmtId="0" fontId="14" fillId="8" borderId="3" applyAlignment="1" pivotButton="0" quotePrefix="0" xfId="0">
      <alignment horizontal="center" vertical="center"/>
    </xf>
    <xf numFmtId="0" fontId="14" fillId="8" borderId="3" applyAlignment="1" pivotButton="0" quotePrefix="0" xfId="0">
      <alignment horizontal="left" vertical="center" indent="1"/>
    </xf>
    <xf numFmtId="0" fontId="21" fillId="8" borderId="3" applyAlignment="1" pivotButton="0" quotePrefix="0" xfId="0">
      <alignment horizontal="center" vertical="center"/>
    </xf>
    <xf numFmtId="0" fontId="12" fillId="8" borderId="3" applyAlignment="1" pivotButton="0" quotePrefix="0" xfId="0">
      <alignment horizontal="center" vertical="center"/>
    </xf>
    <xf numFmtId="0" fontId="14" fillId="9" borderId="3" applyAlignment="1" pivotButton="0" quotePrefix="0" xfId="0">
      <alignment horizontal="center" vertical="center"/>
    </xf>
    <xf numFmtId="0" fontId="14" fillId="9" borderId="3" applyAlignment="1" pivotButton="0" quotePrefix="0" xfId="0">
      <alignment horizontal="left" vertical="center" indent="1"/>
    </xf>
    <xf numFmtId="0" fontId="21" fillId="9" borderId="3" applyAlignment="1" pivotButton="0" quotePrefix="0" xfId="0">
      <alignment horizontal="center" vertical="center"/>
    </xf>
    <xf numFmtId="0" fontId="12" fillId="9" borderId="3" applyAlignment="1" pivotButton="0" quotePrefix="0" xfId="0">
      <alignment horizontal="center" vertical="center"/>
    </xf>
    <xf numFmtId="0" fontId="14" fillId="10" borderId="3" applyAlignment="1" pivotButton="0" quotePrefix="0" xfId="0">
      <alignment horizontal="center" vertical="center"/>
    </xf>
    <xf numFmtId="0" fontId="14" fillId="10" borderId="3" applyAlignment="1" pivotButton="0" quotePrefix="0" xfId="0">
      <alignment horizontal="left" vertical="center" indent="1"/>
    </xf>
    <xf numFmtId="0" fontId="21" fillId="10" borderId="3" applyAlignment="1" pivotButton="0" quotePrefix="0" xfId="0">
      <alignment horizontal="center" vertical="center"/>
    </xf>
    <xf numFmtId="0" fontId="12" fillId="10" borderId="3" applyAlignment="1" pivotButton="0" quotePrefix="0" xfId="0">
      <alignment horizontal="center" vertical="center"/>
    </xf>
    <xf numFmtId="0" fontId="14" fillId="0" borderId="3" applyAlignment="1" pivotButton="0" quotePrefix="0" xfId="0">
      <alignment horizontal="center" vertical="center"/>
    </xf>
    <xf numFmtId="0" fontId="21" fillId="0" borderId="3" applyAlignment="1" pivotButton="0" quotePrefix="0" xfId="0">
      <alignment horizontal="center" vertical="center"/>
    </xf>
    <xf numFmtId="0" fontId="17" fillId="0" borderId="3" applyAlignment="1" pivotButton="0" quotePrefix="0" xfId="0">
      <alignment horizontal="left" vertical="center" indent="1"/>
    </xf>
    <xf numFmtId="0" fontId="22" fillId="4" borderId="3" applyAlignment="1" pivotButton="0" quotePrefix="0" xfId="0">
      <alignment horizontal="left" vertical="center" indent="1"/>
    </xf>
    <xf numFmtId="0" fontId="18" fillId="0" borderId="3" applyAlignment="1" pivotButton="0" quotePrefix="0" xfId="0">
      <alignment horizontal="center" vertical="center"/>
    </xf>
    <xf numFmtId="0" fontId="12" fillId="0" borderId="3" applyAlignment="1" pivotButton="0" quotePrefix="0" xfId="0">
      <alignment horizontal="left" vertical="center" indent="1"/>
    </xf>
    <xf numFmtId="0" fontId="22" fillId="11" borderId="3" applyAlignment="1" pivotButton="0" quotePrefix="0" xfId="0">
      <alignment horizontal="left" vertical="center" indent="1"/>
    </xf>
    <xf numFmtId="0" fontId="22" fillId="5" borderId="3" applyAlignment="1" pivotButton="0" quotePrefix="0" xfId="0">
      <alignment horizontal="left" vertical="center" indent="1"/>
    </xf>
    <xf numFmtId="0" fontId="22" fillId="6" borderId="3" applyAlignment="1" pivotButton="0" quotePrefix="0" xfId="0">
      <alignment horizontal="left" vertical="center" indent="1"/>
    </xf>
    <xf numFmtId="0" fontId="3" fillId="3" borderId="0" applyAlignment="1" pivotButton="0" quotePrefix="0" xfId="0">
      <alignment horizontal="center" vertical="center"/>
    </xf>
    <xf numFmtId="0" fontId="4" fillId="3" borderId="0" applyAlignment="1" pivotButton="0" quotePrefix="0" xfId="0">
      <alignment horizontal="center" vertical="center"/>
    </xf>
    <xf numFmtId="0" fontId="5" fillId="4" borderId="1" applyAlignment="1" pivotButton="0" quotePrefix="0" xfId="0">
      <alignment horizontal="left" vertical="center" indent="1"/>
    </xf>
    <xf numFmtId="0" fontId="0" fillId="0" borderId="2" pivotButton="0" quotePrefix="0" xfId="0"/>
    <xf numFmtId="0" fontId="6" fillId="0" borderId="3" applyAlignment="1" pivotButton="0" quotePrefix="0" xfId="0">
      <alignment horizontal="left" vertical="center" indent="1"/>
    </xf>
    <xf numFmtId="0" fontId="7" fillId="5" borderId="3" applyAlignment="1" pivotButton="0" quotePrefix="0" xfId="0">
      <alignment horizontal="left" vertical="center" indent="1"/>
    </xf>
    <xf numFmtId="0" fontId="0" fillId="0" borderId="5" pivotButton="0" quotePrefix="0" xfId="0"/>
    <xf numFmtId="0" fontId="6" fillId="0" borderId="4" applyAlignment="1" pivotButton="0" quotePrefix="0" xfId="0">
      <alignment horizontal="left" vertical="center" indent="1"/>
    </xf>
    <xf numFmtId="0" fontId="7" fillId="5" borderId="4" applyAlignment="1" pivotButton="0" quotePrefix="0" xfId="0">
      <alignment horizontal="left" vertical="center" indent="1"/>
    </xf>
    <xf numFmtId="0" fontId="0" fillId="0" borderId="6" pivotButton="0" quotePrefix="0" xfId="0"/>
    <xf numFmtId="0" fontId="6" fillId="6" borderId="3" applyAlignment="1" pivotButton="0" quotePrefix="0" xfId="0">
      <alignment horizontal="left" vertical="center" indent="1"/>
    </xf>
    <xf numFmtId="0" fontId="0" fillId="0" borderId="7" pivotButton="0" quotePrefix="0" xfId="0"/>
    <xf numFmtId="0" fontId="7" fillId="7" borderId="4" applyAlignment="1" pivotButton="0" quotePrefix="0" xfId="0">
      <alignment horizontal="left" vertical="center" indent="1"/>
    </xf>
    <xf numFmtId="0" fontId="7" fillId="7" borderId="3" applyAlignment="1" pivotButton="0" quotePrefix="0" xfId="0">
      <alignment horizontal="left" vertical="center" indent="1"/>
    </xf>
    <xf numFmtId="0" fontId="0" fillId="0" borderId="8" pivotButton="0" quotePrefix="0" xfId="0"/>
    <xf numFmtId="0" fontId="8" fillId="8" borderId="3" applyAlignment="1" pivotButton="0" quotePrefix="0" xfId="0">
      <alignment horizontal="left" vertical="center" indent="1"/>
    </xf>
    <xf numFmtId="0" fontId="0" fillId="0" borderId="9" pivotButton="0" quotePrefix="0" xfId="0"/>
    <xf numFmtId="0" fontId="6" fillId="8" borderId="3" applyAlignment="1" pivotButton="0" quotePrefix="0" xfId="0">
      <alignment horizontal="left" vertical="center" indent="1"/>
    </xf>
    <xf numFmtId="0" fontId="9" fillId="8" borderId="3" applyAlignment="1" pivotButton="0" quotePrefix="0" xfId="0">
      <alignment horizontal="left" vertical="center" indent="1"/>
    </xf>
    <xf numFmtId="0" fontId="10" fillId="9" borderId="3" applyAlignment="1" pivotButton="0" quotePrefix="0" xfId="0">
      <alignment horizontal="left" vertical="center" indent="1"/>
    </xf>
    <xf numFmtId="0" fontId="6" fillId="9" borderId="3" applyAlignment="1" pivotButton="0" quotePrefix="0" xfId="0">
      <alignment horizontal="left" vertical="center" indent="1"/>
    </xf>
    <xf numFmtId="0" fontId="11" fillId="9" borderId="3" applyAlignment="1" pivotButton="0" quotePrefix="0" xfId="0">
      <alignment horizontal="left" vertical="center" indent="1"/>
    </xf>
    <xf numFmtId="0" fontId="5" fillId="10" borderId="1" applyAlignment="1" pivotButton="0" quotePrefix="0" xfId="0">
      <alignment horizontal="left" vertical="center" indent="1"/>
    </xf>
    <xf numFmtId="0" fontId="13" fillId="10" borderId="3" applyAlignment="1" pivotButton="0" quotePrefix="0" xfId="0">
      <alignment horizontal="left" vertical="center" indent="1"/>
    </xf>
    <xf numFmtId="0" fontId="6" fillId="10" borderId="3" applyAlignment="1" pivotButton="0" quotePrefix="0" xfId="0">
      <alignment horizontal="left" vertical="center" indent="1"/>
    </xf>
    <xf numFmtId="0" fontId="9" fillId="10" borderId="3" applyAlignment="1" pivotButton="0" quotePrefix="0" xfId="0">
      <alignment horizontal="left" vertical="center" indent="1"/>
    </xf>
    <xf numFmtId="0" fontId="12" fillId="0" borderId="4" applyAlignment="1" pivotButton="0" quotePrefix="0" xfId="0">
      <alignment horizontal="left" vertical="center" indent="1"/>
    </xf>
    <xf numFmtId="0" fontId="6" fillId="6" borderId="4" applyAlignment="1" pivotButton="0" quotePrefix="0" xfId="0">
      <alignment horizontal="left" vertical="center" indent="1"/>
    </xf>
    <xf numFmtId="0" fontId="16" fillId="0" borderId="0" applyAlignment="1" pivotButton="0" quotePrefix="0" xfId="0">
      <alignment horizontal="left" vertical="center" indent="1"/>
    </xf>
    <xf numFmtId="0" fontId="14" fillId="0" borderId="0" applyAlignment="1" pivotButton="0" quotePrefix="0" xfId="0">
      <alignment horizontal="left" vertical="center" indent="1"/>
    </xf>
    <xf numFmtId="0" fontId="14" fillId="0" borderId="0" applyAlignment="1" pivotButton="0" quotePrefix="0" xfId="0">
      <alignment horizontal="right" vertical="center"/>
    </xf>
    <xf numFmtId="0" fontId="3" fillId="2" borderId="0" applyAlignment="1" pivotButton="0" quotePrefix="0" xfId="0">
      <alignment horizontal="left" vertical="center" indent="1"/>
    </xf>
    <xf numFmtId="0" fontId="0" fillId="0" borderId="10" pivotButton="0" quotePrefix="0" xfId="0"/>
    <xf numFmtId="0" fontId="14" fillId="4" borderId="3"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ess'!A1" TargetMode="External" Id="rId1" /><Relationship Type="http://schemas.openxmlformats.org/officeDocument/2006/relationships/hyperlink" Target="#'Carroms'!A1" TargetMode="External" Id="rId2" /><Relationship Type="http://schemas.openxmlformats.org/officeDocument/2006/relationships/hyperlink" Target="#'TT MS'!A1" TargetMode="External" Id="rId3" /><Relationship Type="http://schemas.openxmlformats.org/officeDocument/2006/relationships/hyperlink" Target="#'TT WS'!A1" TargetMode="External" Id="rId4" /><Relationship Type="http://schemas.openxmlformats.org/officeDocument/2006/relationships/hyperlink" Target="#'TT MD'!A1" TargetMode="External" Id="rId5" /><Relationship Type="http://schemas.openxmlformats.org/officeDocument/2006/relationships/hyperlink" Target="#'TT WD'!A1" TargetMode="External" Id="rId6" /><Relationship Type="http://schemas.openxmlformats.org/officeDocument/2006/relationships/hyperlink" Target="#'Badminton MS'!A1" TargetMode="External" Id="rId7" /><Relationship Type="http://schemas.openxmlformats.org/officeDocument/2006/relationships/hyperlink" Target="#'Badminton WS'!A1" TargetMode="External" Id="rId8" /><Relationship Type="http://schemas.openxmlformats.org/officeDocument/2006/relationships/hyperlink" Target="#'Badminton MD'!A1" TargetMode="External" Id="rId9" /><Relationship Type="http://schemas.openxmlformats.org/officeDocument/2006/relationships/hyperlink" Target="#'Badminton WD'!A1" TargetMode="External" Id="rId10" /><Relationship Type="http://schemas.openxmlformats.org/officeDocument/2006/relationships/hyperlink" Target="#'Cricket'!A1" TargetMode="External" Id="rId11" /><Relationship Type="http://schemas.openxmlformats.org/officeDocument/2006/relationships/hyperlink" Target="#'Football'!A1" TargetMode="External" Id="rId12" /></Relationships>
</file>

<file path=xl/worksheets/_rels/sheet3.xml.rels><Relationships xmlns="http://schemas.openxmlformats.org/package/2006/relationships"><Relationship Type="http://schemas.openxmlformats.org/officeDocument/2006/relationships/hyperlink" Target="#'TT MS'!A1" TargetMode="External" Id="rId1" /><Relationship Type="http://schemas.openxmlformats.org/officeDocument/2006/relationships/hyperlink" Target="#'Carroms'!A1" TargetMode="External" Id="rId2" /><Relationship Type="http://schemas.openxmlformats.org/officeDocument/2006/relationships/hyperlink" Target="#'Chess'!A1" TargetMode="External" Id="rId3" /><Relationship Type="http://schemas.openxmlformats.org/officeDocument/2006/relationships/hyperlink" Target="#'Chess'!A1" TargetMode="External" Id="rId4" /><Relationship Type="http://schemas.openxmlformats.org/officeDocument/2006/relationships/hyperlink" Target="#'Chess'!A1" TargetMode="External" Id="rId5" /><Relationship Type="http://schemas.openxmlformats.org/officeDocument/2006/relationships/hyperlink" Target="#'Chess'!A1" TargetMode="External" Id="rId6" /><Relationship Type="http://schemas.openxmlformats.org/officeDocument/2006/relationships/hyperlink" Target="#'Chess'!A1" TargetMode="External" Id="rId7" /><Relationship Type="http://schemas.openxmlformats.org/officeDocument/2006/relationships/hyperlink" Target="#'Chess'!A1" TargetMode="External" Id="rId8" /><Relationship Type="http://schemas.openxmlformats.org/officeDocument/2006/relationships/hyperlink" Target="#'Chess'!A1" TargetMode="External" Id="rId9" /><Relationship Type="http://schemas.openxmlformats.org/officeDocument/2006/relationships/hyperlink" Target="#'Chess'!A1" TargetMode="External" Id="rId10" /><Relationship Type="http://schemas.openxmlformats.org/officeDocument/2006/relationships/hyperlink" Target="#'Chess'!A1" TargetMode="External" Id="rId11" /><Relationship Type="http://schemas.openxmlformats.org/officeDocument/2006/relationships/hyperlink" Target="#'Chess'!A1" TargetMode="External" Id="rId12" /><Relationship Type="http://schemas.openxmlformats.org/officeDocument/2006/relationships/hyperlink" Target="#'Chess'!A1" TargetMode="External" Id="rId13" /><Relationship Type="http://schemas.openxmlformats.org/officeDocument/2006/relationships/hyperlink" Target="#'Chess'!A1" TargetMode="External" Id="rId14" /><Relationship Type="http://schemas.openxmlformats.org/officeDocument/2006/relationships/hyperlink" Target="#'Chess'!A1" TargetMode="External" Id="rId15" /><Relationship Type="http://schemas.openxmlformats.org/officeDocument/2006/relationships/hyperlink" Target="#'Chess'!A1" TargetMode="External" Id="rId16" /><Relationship Type="http://schemas.openxmlformats.org/officeDocument/2006/relationships/hyperlink" Target="#'TT MS'!A1" TargetMode="External" Id="rId17" /><Relationship Type="http://schemas.openxmlformats.org/officeDocument/2006/relationships/hyperlink" Target="#'Carroms'!A1" TargetMode="External" Id="rId18" /><Relationship Type="http://schemas.openxmlformats.org/officeDocument/2006/relationships/hyperlink" Target="#'Chess'!A1" TargetMode="External" Id="rId19" /><Relationship Type="http://schemas.openxmlformats.org/officeDocument/2006/relationships/hyperlink" Target="#'TT MS'!A1" TargetMode="External" Id="rId20" /><Relationship Type="http://schemas.openxmlformats.org/officeDocument/2006/relationships/hyperlink" Target="#'Carroms'!A1" TargetMode="External" Id="rId21" /><Relationship Type="http://schemas.openxmlformats.org/officeDocument/2006/relationships/hyperlink" Target="#'TT MS'!A1" TargetMode="External" Id="rId22" /><Relationship Type="http://schemas.openxmlformats.org/officeDocument/2006/relationships/hyperlink" Target="#'TT MS'!A1" TargetMode="External" Id="rId23" /><Relationship Type="http://schemas.openxmlformats.org/officeDocument/2006/relationships/hyperlink" Target="#'Carroms'!A1" TargetMode="External" Id="rId24" /><Relationship Type="http://schemas.openxmlformats.org/officeDocument/2006/relationships/hyperlink" Target="#'TT MS'!A1" TargetMode="External" Id="rId25" /><Relationship Type="http://schemas.openxmlformats.org/officeDocument/2006/relationships/hyperlink" Target="#'Carroms'!A1" TargetMode="External" Id="rId26" /><Relationship Type="http://schemas.openxmlformats.org/officeDocument/2006/relationships/hyperlink" Target="#'TT MD'!A1" TargetMode="External" Id="rId27" /><Relationship Type="http://schemas.openxmlformats.org/officeDocument/2006/relationships/hyperlink" Target="#'TT MS'!A1" TargetMode="External" Id="rId28" /><Relationship Type="http://schemas.openxmlformats.org/officeDocument/2006/relationships/hyperlink" Target="#'TT MD'!A1" TargetMode="External" Id="rId29" /><Relationship Type="http://schemas.openxmlformats.org/officeDocument/2006/relationships/hyperlink" Target="#'Carroms'!A1" TargetMode="External" Id="rId30" /><Relationship Type="http://schemas.openxmlformats.org/officeDocument/2006/relationships/hyperlink" Target="#'Chess'!A1" TargetMode="External" Id="rId31" /><Relationship Type="http://schemas.openxmlformats.org/officeDocument/2006/relationships/hyperlink" Target="#'Chess'!A1" TargetMode="External" Id="rId32" /><Relationship Type="http://schemas.openxmlformats.org/officeDocument/2006/relationships/hyperlink" Target="#'Chess'!A1" TargetMode="External" Id="rId33" /><Relationship Type="http://schemas.openxmlformats.org/officeDocument/2006/relationships/hyperlink" Target="#'Chess'!A1" TargetMode="External" Id="rId34" /><Relationship Type="http://schemas.openxmlformats.org/officeDocument/2006/relationships/hyperlink" Target="#'Chess'!A1" TargetMode="External" Id="rId35" /><Relationship Type="http://schemas.openxmlformats.org/officeDocument/2006/relationships/hyperlink" Target="#'Chess'!A1" TargetMode="External" Id="rId36" /><Relationship Type="http://schemas.openxmlformats.org/officeDocument/2006/relationships/hyperlink" Target="#'TT MS'!A1" TargetMode="External" Id="rId37" /><Relationship Type="http://schemas.openxmlformats.org/officeDocument/2006/relationships/hyperlink" Target="#'Carroms'!A1" TargetMode="External" Id="rId38" /><Relationship Type="http://schemas.openxmlformats.org/officeDocument/2006/relationships/hyperlink" Target="#'Chess'!A1" TargetMode="External" Id="rId39" /><Relationship Type="http://schemas.openxmlformats.org/officeDocument/2006/relationships/hyperlink" Target="#'Chess'!A1" TargetMode="External" Id="rId40" /><Relationship Type="http://schemas.openxmlformats.org/officeDocument/2006/relationships/hyperlink" Target="#'TT MS'!A1" TargetMode="External" Id="rId41" /><Relationship Type="http://schemas.openxmlformats.org/officeDocument/2006/relationships/hyperlink" Target="#'Carroms'!A1" TargetMode="External" Id="rId42" /><Relationship Type="http://schemas.openxmlformats.org/officeDocument/2006/relationships/hyperlink" Target="#'TT MD'!A1" TargetMode="External" Id="rId43" /><Relationship Type="http://schemas.openxmlformats.org/officeDocument/2006/relationships/hyperlink" Target="#'Carroms'!A1" TargetMode="External" Id="rId44" /><Relationship Type="http://schemas.openxmlformats.org/officeDocument/2006/relationships/hyperlink" Target="#'TT MS'!A1" TargetMode="External" Id="rId45" /><Relationship Type="http://schemas.openxmlformats.org/officeDocument/2006/relationships/hyperlink" Target="#'TT MS'!A1" TargetMode="External" Id="rId46" /><Relationship Type="http://schemas.openxmlformats.org/officeDocument/2006/relationships/hyperlink" Target="#'Carroms'!A1" TargetMode="External" Id="rId47" /><Relationship Type="http://schemas.openxmlformats.org/officeDocument/2006/relationships/hyperlink" Target="#'TT MD'!A1" TargetMode="External" Id="rId48" /><Relationship Type="http://schemas.openxmlformats.org/officeDocument/2006/relationships/hyperlink" Target="#'TT MD'!A1" TargetMode="External" Id="rId49" /><Relationship Type="http://schemas.openxmlformats.org/officeDocument/2006/relationships/hyperlink" Target="#'Carroms'!A1" TargetMode="External" Id="rId50" /><Relationship Type="http://schemas.openxmlformats.org/officeDocument/2006/relationships/hyperlink" Target="#'Chess'!A1" TargetMode="External" Id="rId51" /><Relationship Type="http://schemas.openxmlformats.org/officeDocument/2006/relationships/hyperlink" Target="#'Chess'!A1" TargetMode="External" Id="rId52" /><Relationship Type="http://schemas.openxmlformats.org/officeDocument/2006/relationships/hyperlink" Target="#'TT MS'!A1" TargetMode="External" Id="rId53" /><Relationship Type="http://schemas.openxmlformats.org/officeDocument/2006/relationships/hyperlink" Target="#'Carroms'!A1" TargetMode="External" Id="rId54" /><Relationship Type="http://schemas.openxmlformats.org/officeDocument/2006/relationships/hyperlink" Target="#'Chess'!A1" TargetMode="External" Id="rId55" /><Relationship Type="http://schemas.openxmlformats.org/officeDocument/2006/relationships/hyperlink" Target="#'Chess'!A1" TargetMode="External" Id="rId56" /><Relationship Type="http://schemas.openxmlformats.org/officeDocument/2006/relationships/hyperlink" Target="#'TT MS'!A1" TargetMode="External" Id="rId57" /><Relationship Type="http://schemas.openxmlformats.org/officeDocument/2006/relationships/hyperlink" Target="#'Carroms'!A1" TargetMode="External" Id="rId58" /><Relationship Type="http://schemas.openxmlformats.org/officeDocument/2006/relationships/hyperlink" Target="#'TT MS'!A1" TargetMode="External" Id="rId59" /><Relationship Type="http://schemas.openxmlformats.org/officeDocument/2006/relationships/hyperlink" Target="#'TT MS'!A1" TargetMode="External" Id="rId60" /><Relationship Type="http://schemas.openxmlformats.org/officeDocument/2006/relationships/hyperlink" Target="#'Carroms'!A1" TargetMode="External" Id="rId61" /><Relationship Type="http://schemas.openxmlformats.org/officeDocument/2006/relationships/hyperlink" Target="#'TT MD'!A1" TargetMode="External" Id="rId62" /><Relationship Type="http://schemas.openxmlformats.org/officeDocument/2006/relationships/hyperlink" Target="#'Carroms'!A1" TargetMode="External" Id="rId63" /><Relationship Type="http://schemas.openxmlformats.org/officeDocument/2006/relationships/hyperlink" Target="#'TT MD'!A1" TargetMode="External" Id="rId64" /><Relationship Type="http://schemas.openxmlformats.org/officeDocument/2006/relationships/hyperlink" Target="#'TT MD'!A1" TargetMode="External" Id="rId65" /><Relationship Type="http://schemas.openxmlformats.org/officeDocument/2006/relationships/hyperlink" Target="#'Carroms'!A1" TargetMode="External" Id="rId66" /><Relationship Type="http://schemas.openxmlformats.org/officeDocument/2006/relationships/hyperlink" Target="#'TT MD'!A1" TargetMode="External" Id="rId67" /><Relationship Type="http://schemas.openxmlformats.org/officeDocument/2006/relationships/hyperlink" Target="#'Carroms'!A1" TargetMode="External" Id="rId68" /><Relationship Type="http://schemas.openxmlformats.org/officeDocument/2006/relationships/hyperlink" Target="#'Chess'!A1" TargetMode="External" Id="rId69" /><Relationship Type="http://schemas.openxmlformats.org/officeDocument/2006/relationships/hyperlink" Target="#'TT WS'!A1" TargetMode="External" Id="rId70" /><Relationship Type="http://schemas.openxmlformats.org/officeDocument/2006/relationships/hyperlink" Target="#'Carroms'!A1" TargetMode="External" Id="rId71" /><Relationship Type="http://schemas.openxmlformats.org/officeDocument/2006/relationships/hyperlink" Target="#'TT MS'!A1" TargetMode="External" Id="rId72" /><Relationship Type="http://schemas.openxmlformats.org/officeDocument/2006/relationships/hyperlink" Target="#'Carroms'!A1" TargetMode="External" Id="rId73" /><Relationship Type="http://schemas.openxmlformats.org/officeDocument/2006/relationships/hyperlink" Target="#'TT WS'!A1" TargetMode="External" Id="rId74" /><Relationship Type="http://schemas.openxmlformats.org/officeDocument/2006/relationships/hyperlink" Target="#'TT WS'!A1" TargetMode="External" Id="rId75" /><Relationship Type="http://schemas.openxmlformats.org/officeDocument/2006/relationships/hyperlink" Target="#'Carroms'!A1" TargetMode="External" Id="rId76" /><Relationship Type="http://schemas.openxmlformats.org/officeDocument/2006/relationships/hyperlink" Target="#'TT MS'!A1" TargetMode="External" Id="rId77" /><Relationship Type="http://schemas.openxmlformats.org/officeDocument/2006/relationships/hyperlink" Target="#'TT MS'!A1" TargetMode="External" Id="rId78" /><Relationship Type="http://schemas.openxmlformats.org/officeDocument/2006/relationships/hyperlink" Target="#'Carroms'!A1" TargetMode="External" Id="rId79" /><Relationship Type="http://schemas.openxmlformats.org/officeDocument/2006/relationships/hyperlink" Target="#'TT WS'!A1" TargetMode="External" Id="rId80" /><Relationship Type="http://schemas.openxmlformats.org/officeDocument/2006/relationships/hyperlink" Target="#'Carroms'!A1" TargetMode="External" Id="rId81" /><Relationship Type="http://schemas.openxmlformats.org/officeDocument/2006/relationships/hyperlink" Target="#'Chess'!A1" TargetMode="External" Id="rId82" /><Relationship Type="http://schemas.openxmlformats.org/officeDocument/2006/relationships/hyperlink" Target="#'TT MS'!A1" TargetMode="External" Id="rId83" /><Relationship Type="http://schemas.openxmlformats.org/officeDocument/2006/relationships/hyperlink" Target="#'TT WD'!A1" TargetMode="External" Id="rId84" /><Relationship Type="http://schemas.openxmlformats.org/officeDocument/2006/relationships/hyperlink" Target="#'Carroms'!A1" TargetMode="External" Id="rId85" /><Relationship Type="http://schemas.openxmlformats.org/officeDocument/2006/relationships/hyperlink" Target="#'TT MD'!A1" TargetMode="External" Id="rId86" /><Relationship Type="http://schemas.openxmlformats.org/officeDocument/2006/relationships/hyperlink" Target="#'TT WD'!A1" TargetMode="External" Id="rId87" /><Relationship Type="http://schemas.openxmlformats.org/officeDocument/2006/relationships/hyperlink" Target="#'Carroms'!A1" TargetMode="External" Id="rId88" /><Relationship Type="http://schemas.openxmlformats.org/officeDocument/2006/relationships/hyperlink" Target="#'TT MD'!A1" TargetMode="External" Id="rId89" /><Relationship Type="http://schemas.openxmlformats.org/officeDocument/2006/relationships/hyperlink" Target="#'TT MS'!A1" TargetMode="External" Id="rId90" /><Relationship Type="http://schemas.openxmlformats.org/officeDocument/2006/relationships/hyperlink" Target="#'TT WS'!A1" TargetMode="External" Id="rId91" /><Relationship Type="http://schemas.openxmlformats.org/officeDocument/2006/relationships/hyperlink" Target="#'Carroms'!A1" TargetMode="External" Id="rId92" /><Relationship Type="http://schemas.openxmlformats.org/officeDocument/2006/relationships/hyperlink" Target="#'Carroms'!A1" TargetMode="External" Id="rId93" /><Relationship Type="http://schemas.openxmlformats.org/officeDocument/2006/relationships/hyperlink" Target="#'TT WS'!A1" TargetMode="External" Id="rId94" /><Relationship Type="http://schemas.openxmlformats.org/officeDocument/2006/relationships/hyperlink" Target="#'Carroms'!A1" TargetMode="External" Id="rId95" /><Relationship Type="http://schemas.openxmlformats.org/officeDocument/2006/relationships/hyperlink" Target="#'Carroms'!A1" TargetMode="External" Id="rId96" /><Relationship Type="http://schemas.openxmlformats.org/officeDocument/2006/relationships/hyperlink" Target="#'Carroms'!A1" TargetMode="External" Id="rId97" /><Relationship Type="http://schemas.openxmlformats.org/officeDocument/2006/relationships/hyperlink" Target="#'Cricket'!A1" TargetMode="External" Id="rId98" /><Relationship Type="http://schemas.openxmlformats.org/officeDocument/2006/relationships/hyperlink" Target="#'Cricket'!A1" TargetMode="External" Id="rId99" /><Relationship Type="http://schemas.openxmlformats.org/officeDocument/2006/relationships/hyperlink" Target="#'Cricket'!A1" TargetMode="External" Id="rId100" /><Relationship Type="http://schemas.openxmlformats.org/officeDocument/2006/relationships/hyperlink" Target="#'Cricket'!A1" TargetMode="External" Id="rId101" /><Relationship Type="http://schemas.openxmlformats.org/officeDocument/2006/relationships/hyperlink" Target="#'Cricket'!A1" TargetMode="External" Id="rId102" /><Relationship Type="http://schemas.openxmlformats.org/officeDocument/2006/relationships/hyperlink" Target="#'Cricket'!A1" TargetMode="External" Id="rId103" /><Relationship Type="http://schemas.openxmlformats.org/officeDocument/2006/relationships/hyperlink" Target="#'Football'!A1" TargetMode="External" Id="rId104" /><Relationship Type="http://schemas.openxmlformats.org/officeDocument/2006/relationships/hyperlink" Target="#'Football'!A1" TargetMode="External" Id="rId105" /><Relationship Type="http://schemas.openxmlformats.org/officeDocument/2006/relationships/hyperlink" Target="#'Football'!A1" TargetMode="External" Id="rId106" /><Relationship Type="http://schemas.openxmlformats.org/officeDocument/2006/relationships/hyperlink" Target="#'Football'!A1" TargetMode="External" Id="rId107" /><Relationship Type="http://schemas.openxmlformats.org/officeDocument/2006/relationships/hyperlink" Target="#'Football'!A1" TargetMode="External" Id="rId108" /><Relationship Type="http://schemas.openxmlformats.org/officeDocument/2006/relationships/hyperlink" Target="#'Football'!A1" TargetMode="External" Id="rId109" /><Relationship Type="http://schemas.openxmlformats.org/officeDocument/2006/relationships/hyperlink" Target="#'Badminton MD'!A1" TargetMode="External" Id="rId110" /><Relationship Type="http://schemas.openxmlformats.org/officeDocument/2006/relationships/hyperlink" Target="#'Badminton MD'!A1" TargetMode="External" Id="rId111" /><Relationship Type="http://schemas.openxmlformats.org/officeDocument/2006/relationships/hyperlink" Target="#'Badminton MD'!A1" TargetMode="External" Id="rId112" /><Relationship Type="http://schemas.openxmlformats.org/officeDocument/2006/relationships/hyperlink" Target="#'Badminton WD'!A1" TargetMode="External" Id="rId113" /><Relationship Type="http://schemas.openxmlformats.org/officeDocument/2006/relationships/hyperlink" Target="#'Badminton MS'!A1" TargetMode="External" Id="rId114" /><Relationship Type="http://schemas.openxmlformats.org/officeDocument/2006/relationships/hyperlink" Target="#'Badminton MS'!A1" TargetMode="External" Id="rId115" /><Relationship Type="http://schemas.openxmlformats.org/officeDocument/2006/relationships/hyperlink" Target="#'Badminton MS'!A1" TargetMode="External" Id="rId116" /><Relationship Type="http://schemas.openxmlformats.org/officeDocument/2006/relationships/hyperlink" Target="#'Badminton MS'!A1" TargetMode="External" Id="rId117" /><Relationship Type="http://schemas.openxmlformats.org/officeDocument/2006/relationships/hyperlink" Target="#'Badminton WD'!A1" TargetMode="External" Id="rId118" /><Relationship Type="http://schemas.openxmlformats.org/officeDocument/2006/relationships/hyperlink" Target="#'Badminton WD'!A1" TargetMode="External" Id="rId119" /><Relationship Type="http://schemas.openxmlformats.org/officeDocument/2006/relationships/hyperlink" Target="#'Badminton WS'!A1" TargetMode="External" Id="rId120" /><Relationship Type="http://schemas.openxmlformats.org/officeDocument/2006/relationships/hyperlink" Target="#'Badminton MD'!A1" TargetMode="External" Id="rId121" /><Relationship Type="http://schemas.openxmlformats.org/officeDocument/2006/relationships/hyperlink" Target="#'Badminton WS'!A1" TargetMode="External" Id="rId122" /><Relationship Type="http://schemas.openxmlformats.org/officeDocument/2006/relationships/hyperlink" Target="#'Badminton WS'!A1" TargetMode="External" Id="rId123" /><Relationship Type="http://schemas.openxmlformats.org/officeDocument/2006/relationships/hyperlink" Target="#'Badminton WS'!A1" TargetMode="External" Id="rId124" /><Relationship Type="http://schemas.openxmlformats.org/officeDocument/2006/relationships/hyperlink" Target="#'Badminton MD'!A1" TargetMode="External" Id="rId125" /><Relationship Type="http://schemas.openxmlformats.org/officeDocument/2006/relationships/hyperlink" Target="#'Badminton MD'!A1" TargetMode="External" Id="rId126" /><Relationship Type="http://schemas.openxmlformats.org/officeDocument/2006/relationships/hyperlink" Target="#'Badminton MD'!A1" TargetMode="External" Id="rId127" /><Relationship Type="http://schemas.openxmlformats.org/officeDocument/2006/relationships/hyperlink" Target="#'Badminton WD'!A1" TargetMode="External" Id="rId128" /><Relationship Type="http://schemas.openxmlformats.org/officeDocument/2006/relationships/hyperlink" Target="#'Badminton WD'!A1" TargetMode="External" Id="rId129" /><Relationship Type="http://schemas.openxmlformats.org/officeDocument/2006/relationships/hyperlink" Target="#'Badminton MS'!A1" TargetMode="External" Id="rId130" /><Relationship Type="http://schemas.openxmlformats.org/officeDocument/2006/relationships/hyperlink" Target="#'Badminton MS'!A1" TargetMode="External" Id="rId131" /><Relationship Type="http://schemas.openxmlformats.org/officeDocument/2006/relationships/hyperlink" Target="#'Badminton MS'!A1" TargetMode="External" Id="rId132" /><Relationship Type="http://schemas.openxmlformats.org/officeDocument/2006/relationships/hyperlink" Target="#'Badminton MS'!A1" TargetMode="External" Id="rId133" /><Relationship Type="http://schemas.openxmlformats.org/officeDocument/2006/relationships/hyperlink" Target="#'Badminton WD'!A1" TargetMode="External" Id="rId134" /><Relationship Type="http://schemas.openxmlformats.org/officeDocument/2006/relationships/hyperlink" Target="#'Badminton WD'!A1" TargetMode="External" Id="rId135" /><Relationship Type="http://schemas.openxmlformats.org/officeDocument/2006/relationships/hyperlink" Target="#'Badminton MD'!A1" TargetMode="External" Id="rId136" /><Relationship Type="http://schemas.openxmlformats.org/officeDocument/2006/relationships/hyperlink" Target="#'Badminton MD'!A1" TargetMode="External" Id="rId137" /><Relationship Type="http://schemas.openxmlformats.org/officeDocument/2006/relationships/hyperlink" Target="#'Badminton WS'!A1" TargetMode="External" Id="rId138" /><Relationship Type="http://schemas.openxmlformats.org/officeDocument/2006/relationships/hyperlink" Target="#'Badminton WS'!A1" TargetMode="External" Id="rId139" /><Relationship Type="http://schemas.openxmlformats.org/officeDocument/2006/relationships/hyperlink" Target="#'Badminton WS'!A1" TargetMode="External" Id="rId140" /><Relationship Type="http://schemas.openxmlformats.org/officeDocument/2006/relationships/hyperlink" Target="#'Badminton WS'!A1" TargetMode="External" Id="rId141" /><Relationship Type="http://schemas.openxmlformats.org/officeDocument/2006/relationships/hyperlink" Target="#'Badminton MS'!A1" TargetMode="External" Id="rId142" /><Relationship Type="http://schemas.openxmlformats.org/officeDocument/2006/relationships/hyperlink" Target="#'Badminton MS'!A1" TargetMode="External" Id="rId143" /><Relationship Type="http://schemas.openxmlformats.org/officeDocument/2006/relationships/hyperlink" Target="#'Badminton WD'!A1" TargetMode="External" Id="rId144" /><Relationship Type="http://schemas.openxmlformats.org/officeDocument/2006/relationships/hyperlink" Target="#'Badminton WD'!A1" TargetMode="External" Id="rId145" /><Relationship Type="http://schemas.openxmlformats.org/officeDocument/2006/relationships/hyperlink" Target="#'Badminton WS'!A1" TargetMode="External" Id="rId146" /><Relationship Type="http://schemas.openxmlformats.org/officeDocument/2006/relationships/hyperlink" Target="#'Badminton WS'!A1" TargetMode="External" Id="rId147" /><Relationship Type="http://schemas.openxmlformats.org/officeDocument/2006/relationships/hyperlink" Target="#'Badminton MD'!A1" TargetMode="External" Id="rId148" /><Relationship Type="http://schemas.openxmlformats.org/officeDocument/2006/relationships/hyperlink" Target="#'Badminton WD'!A1" TargetMode="External" Id="rId149" /><Relationship Type="http://schemas.openxmlformats.org/officeDocument/2006/relationships/hyperlink" Target="#'Badminton MS'!A1" TargetMode="External" Id="rId150" /><Relationship Type="http://schemas.openxmlformats.org/officeDocument/2006/relationships/hyperlink" Target="#'Badminton WS'!A1" TargetMode="External" Id="rId151" /><Relationship Type="http://schemas.openxmlformats.org/officeDocument/2006/relationships/hyperlink" Target="#'Badminton MD'!A1" TargetMode="External" Id="rId152" /><Relationship Type="http://schemas.openxmlformats.org/officeDocument/2006/relationships/hyperlink" Target="#'Badminton WD'!A1" TargetMode="External" Id="rId153" /><Relationship Type="http://schemas.openxmlformats.org/officeDocument/2006/relationships/hyperlink" Target="#'Badminton MS'!A1" TargetMode="External" Id="rId154" /><Relationship Type="http://schemas.openxmlformats.org/officeDocument/2006/relationships/hyperlink" Target="#'Badminton WS'!A1" TargetMode="External" Id="rId155" /><Relationship Type="http://schemas.openxmlformats.org/officeDocument/2006/relationships/hyperlink" Target="#'TT WS'!A1" TargetMode="External" Id="rId156" /><Relationship Type="http://schemas.openxmlformats.org/officeDocument/2006/relationships/hyperlink" Target="#'Carroms'!A1" TargetMode="External" Id="rId157" /><Relationship Type="http://schemas.openxmlformats.org/officeDocument/2006/relationships/hyperlink" Target="#'Chess'!A1" TargetMode="External" Id="rId158" /><Relationship Type="http://schemas.openxmlformats.org/officeDocument/2006/relationships/hyperlink" Target="#'Chess'!A1" TargetMode="External" Id="rId159" /><Relationship Type="http://schemas.openxmlformats.org/officeDocument/2006/relationships/hyperlink" Target="#'TT MS'!A1" TargetMode="External" Id="rId160" /><Relationship Type="http://schemas.openxmlformats.org/officeDocument/2006/relationships/hyperlink" Target="#'Carroms'!A1" TargetMode="External" Id="rId161" /><Relationship Type="http://schemas.openxmlformats.org/officeDocument/2006/relationships/hyperlink" Target="#'TT WD'!A1" TargetMode="External" Id="rId162" /><Relationship Type="http://schemas.openxmlformats.org/officeDocument/2006/relationships/hyperlink" Target="#'TT MD'!A1" TargetMode="External" Id="rId163" /><Relationship Type="http://schemas.openxmlformats.org/officeDocument/2006/relationships/hyperlink" Target="#'TT WS'!A1" TargetMode="External" Id="rId164" /><Relationship Type="http://schemas.openxmlformats.org/officeDocument/2006/relationships/hyperlink" Target="#'TT MS'!A1" TargetMode="External" Id="rId165" /><Relationship Type="http://schemas.openxmlformats.org/officeDocument/2006/relationships/hyperlink" Target="#'TT WD'!A1" TargetMode="External" Id="rId166" /><Relationship Type="http://schemas.openxmlformats.org/officeDocument/2006/relationships/hyperlink" Target="#'TT MD'!A1" TargetMode="External" Id="rId167" /><Relationship Type="http://schemas.openxmlformats.org/officeDocument/2006/relationships/hyperlink" Target="#'Cricket'!A1" TargetMode="External" Id="rId168" /><Relationship Type="http://schemas.openxmlformats.org/officeDocument/2006/relationships/hyperlink" Target="#'Cricket'!A1" TargetMode="External" Id="rId169" /><Relationship Type="http://schemas.openxmlformats.org/officeDocument/2006/relationships/hyperlink" Target="#'Cricket'!A1" TargetMode="External" Id="rId170" /><Relationship Type="http://schemas.openxmlformats.org/officeDocument/2006/relationships/hyperlink" Target="#'Football'!A1" TargetMode="External" Id="rId171" /><Relationship Type="http://schemas.openxmlformats.org/officeDocument/2006/relationships/hyperlink" Target="#'Football'!A1" TargetMode="External" Id="rId172" /><Relationship Type="http://schemas.openxmlformats.org/officeDocument/2006/relationships/hyperlink" Target="#'Football'!A1" TargetMode="External" Id="rId173" /><Relationship Type="http://schemas.openxmlformats.org/officeDocument/2006/relationships/hyperlink" Target="#'Cricket'!A1" TargetMode="External" Id="rId174" /><Relationship Type="http://schemas.openxmlformats.org/officeDocument/2006/relationships/hyperlink" Target="#'Football'!A1" TargetMode="External" Id="rId175" /></Relationships>
</file>

<file path=xl/worksheets/sheet1.xml><?xml version="1.0" encoding="utf-8"?>
<worksheet xmlns="http://schemas.openxmlformats.org/spreadsheetml/2006/main">
  <sheetPr>
    <outlinePr summaryBelow="1" summaryRight="1"/>
    <pageSetUpPr/>
  </sheetPr>
  <dimension ref="A1:J23"/>
  <sheetViews>
    <sheetView showGridLines="0" workbookViewId="0">
      <selection activeCell="A1" sqref="A1"/>
    </sheetView>
  </sheetViews>
  <sheetFormatPr baseColWidth="8" defaultRowHeight="15"/>
  <cols>
    <col width="26" customWidth="1" min="1" max="1"/>
    <col width="14" customWidth="1" min="2" max="2"/>
    <col width="9" customWidth="1" min="3" max="3"/>
    <col width="9" customWidth="1" min="4" max="4"/>
    <col width="7" customWidth="1" min="5" max="5"/>
    <col width="20" customWidth="1" min="6" max="6"/>
    <col width="20" customWidth="1" min="7" max="7"/>
    <col width="32" customWidth="1" min="8" max="8"/>
    <col width="32" customWidth="1" min="9" max="9"/>
    <col width="32" customWidth="1" min="10" max="10"/>
  </cols>
  <sheetData>
    <row r="1" ht="30" customHeight="1">
      <c r="A1" s="1" t="inlineStr">
        <is>
          <t>Vonnue Cup — Tournament Brackets</t>
        </is>
      </c>
    </row>
    <row r="2">
      <c r="A2" s="2" t="inlineStr">
        <is>
          <t>Champion, runner-up and 3rd place for every event.</t>
        </is>
      </c>
    </row>
    <row r="4">
      <c r="A4" s="3" t="inlineStr">
        <is>
          <t>Event</t>
        </is>
      </c>
      <c r="B4" s="3" t="inlineStr">
        <is>
          <t>Sheet</t>
        </is>
      </c>
      <c r="C4" s="3" t="inlineStr">
        <is>
          <t>Entries</t>
        </is>
      </c>
      <c r="D4" s="3" t="inlineStr">
        <is>
          <t>Matches</t>
        </is>
      </c>
      <c r="E4" s="3" t="inlineStr">
        <is>
          <t>Byes</t>
        </is>
      </c>
      <c r="F4" s="3" t="inlineStr">
        <is>
          <t>Starts</t>
        </is>
      </c>
      <c r="G4" s="3" t="inlineStr">
        <is>
          <t>Final</t>
        </is>
      </c>
      <c r="H4" s="3" t="inlineStr">
        <is>
          <t>Champion</t>
        </is>
      </c>
      <c r="I4" s="3" t="inlineStr">
        <is>
          <t>Runner-up</t>
        </is>
      </c>
      <c r="J4" s="3" t="inlineStr">
        <is>
          <t>3rd Place</t>
        </is>
      </c>
    </row>
    <row r="5">
      <c r="A5" s="4" t="inlineStr">
        <is>
          <t>Chess</t>
        </is>
      </c>
      <c r="B5" s="5" t="inlineStr">
        <is>
          <t>Chess</t>
        </is>
      </c>
      <c r="C5" s="6" t="n">
        <v>31</v>
      </c>
      <c r="D5" s="6" t="n">
        <v>31</v>
      </c>
      <c r="E5" s="6" t="n">
        <v>1</v>
      </c>
      <c r="F5" s="6" t="inlineStr">
        <is>
          <t>Thu 15 Oct</t>
        </is>
      </c>
      <c r="G5" s="6" t="inlineStr">
        <is>
          <t>Mon 02 Nov</t>
        </is>
      </c>
      <c r="H5" s="7">
        <f>IF('Chess'!V37="","—",'Chess'!V37)</f>
        <v/>
      </c>
      <c r="I5" s="7">
        <f>IF('Chess'!V37="","—",IF('Chess'!V37='Chess'!R37,'Chess'!R38&amp;"",IF('Chess'!V37='Chess'!R38,'Chess'!R37&amp;"","—")))</f>
        <v/>
      </c>
      <c r="J5" s="7">
        <f>IF('Chess'!V42="","—",'Chess'!V42)</f>
        <v/>
      </c>
    </row>
    <row r="6">
      <c r="A6" s="4" t="inlineStr">
        <is>
          <t>Carroms Doubles</t>
        </is>
      </c>
      <c r="B6" s="5" t="inlineStr">
        <is>
          <t>Carroms</t>
        </is>
      </c>
      <c r="C6" s="6" t="n">
        <v>31</v>
      </c>
      <c r="D6" s="6" t="n">
        <v>31</v>
      </c>
      <c r="E6" s="6" t="n">
        <v>1</v>
      </c>
      <c r="F6" s="6" t="inlineStr">
        <is>
          <t>Thu 15 Oct</t>
        </is>
      </c>
      <c r="G6" s="6" t="inlineStr">
        <is>
          <t>Mon 02 Nov</t>
        </is>
      </c>
      <c r="H6" s="7">
        <f>IF('Carroms'!V37="","—",'Carroms'!V37)</f>
        <v/>
      </c>
      <c r="I6" s="7">
        <f>IF('Carroms'!V37="","—",IF('Carroms'!V37='Carroms'!R37,'Carroms'!R38&amp;"",IF('Carroms'!V37='Carroms'!R38,'Carroms'!R37&amp;"","—")))</f>
        <v/>
      </c>
      <c r="J6" s="7">
        <f>IF('Carroms'!V42="","—",'Carroms'!V42)</f>
        <v/>
      </c>
    </row>
    <row r="7">
      <c r="A7" s="4" t="inlineStr">
        <is>
          <t>TT Men's Singles</t>
        </is>
      </c>
      <c r="B7" s="5" t="inlineStr">
        <is>
          <t>TT MS</t>
        </is>
      </c>
      <c r="C7" s="6" t="n">
        <v>22</v>
      </c>
      <c r="D7" s="6" t="n">
        <v>22</v>
      </c>
      <c r="E7" s="6" t="n">
        <v>10</v>
      </c>
      <c r="F7" s="6" t="inlineStr">
        <is>
          <t>Thu 15 Oct</t>
        </is>
      </c>
      <c r="G7" s="6" t="inlineStr">
        <is>
          <t>Mon 02 Nov</t>
        </is>
      </c>
      <c r="H7" s="7">
        <f>IF('TT MS'!V33="","—",'TT MS'!V33)</f>
        <v/>
      </c>
      <c r="I7" s="7">
        <f>IF('TT MS'!V33="","—",IF('TT MS'!V33='TT MS'!R33,'TT MS'!R34&amp;"",IF('TT MS'!V33='TT MS'!R34,'TT MS'!R33&amp;"","—")))</f>
        <v/>
      </c>
      <c r="J7" s="7">
        <f>IF('TT MS'!V38="","—",'TT MS'!V38)</f>
        <v/>
      </c>
    </row>
    <row r="8">
      <c r="A8" s="4" t="inlineStr">
        <is>
          <t>TT Women's Singles</t>
        </is>
      </c>
      <c r="B8" s="5" t="inlineStr">
        <is>
          <t>TT WS</t>
        </is>
      </c>
      <c r="C8" s="6" t="n">
        <v>8</v>
      </c>
      <c r="D8" s="6" t="n">
        <v>8</v>
      </c>
      <c r="E8" s="6" t="n">
        <v>0</v>
      </c>
      <c r="F8" s="6" t="inlineStr">
        <is>
          <t>Wed 21 Oct</t>
        </is>
      </c>
      <c r="G8" s="6" t="inlineStr">
        <is>
          <t>Mon 02 Nov</t>
        </is>
      </c>
      <c r="H8" s="7">
        <f>IF('TT WS'!N13="","—",'TT WS'!N13)</f>
        <v/>
      </c>
      <c r="I8" s="7">
        <f>IF('TT WS'!N13="","—",IF('TT WS'!N13='TT WS'!J13,'TT WS'!J14&amp;"",IF('TT WS'!N13='TT WS'!J14,'TT WS'!J13&amp;"","—")))</f>
        <v/>
      </c>
      <c r="J8" s="7">
        <f>IF('TT WS'!N18="","—",'TT WS'!N18)</f>
        <v/>
      </c>
    </row>
    <row r="9">
      <c r="A9" s="4" t="inlineStr">
        <is>
          <t>TT Men's Doubles</t>
        </is>
      </c>
      <c r="B9" s="5" t="inlineStr">
        <is>
          <t>TT MD</t>
        </is>
      </c>
      <c r="C9" s="6" t="n">
        <v>13</v>
      </c>
      <c r="D9" s="6" t="n">
        <v>13</v>
      </c>
      <c r="E9" s="6" t="n">
        <v>3</v>
      </c>
      <c r="F9" s="6" t="inlineStr">
        <is>
          <t>Thu 15 Oct</t>
        </is>
      </c>
      <c r="G9" s="6" t="inlineStr">
        <is>
          <t>Mon 02 Nov</t>
        </is>
      </c>
      <c r="H9" s="7">
        <f>IF('TT MD'!R21="","—",'TT MD'!R21)</f>
        <v/>
      </c>
      <c r="I9" s="7">
        <f>IF('TT MD'!R21="","—",IF('TT MD'!R21='TT MD'!N21,'TT MD'!N22&amp;"",IF('TT MD'!R21='TT MD'!N22,'TT MD'!N21&amp;"","—")))</f>
        <v/>
      </c>
      <c r="J9" s="7">
        <f>IF('TT MD'!R26="","—",'TT MD'!R26)</f>
        <v/>
      </c>
    </row>
    <row r="10">
      <c r="A10" s="4" t="inlineStr">
        <is>
          <t>TT Women's Doubles</t>
        </is>
      </c>
      <c r="B10" s="5" t="inlineStr">
        <is>
          <t>TT WD</t>
        </is>
      </c>
      <c r="C10" s="6" t="n">
        <v>4</v>
      </c>
      <c r="D10" s="6" t="n">
        <v>4</v>
      </c>
      <c r="E10" s="6" t="n">
        <v>0</v>
      </c>
      <c r="F10" s="6" t="inlineStr">
        <is>
          <t>Thu 22 Oct</t>
        </is>
      </c>
      <c r="G10" s="6" t="inlineStr">
        <is>
          <t>Mon 02 Nov</t>
        </is>
      </c>
      <c r="H10" s="7">
        <f>IF('TT WD'!J9="","—",'TT WD'!J9)</f>
        <v/>
      </c>
      <c r="I10" s="7">
        <f>IF('TT WD'!J9="","—",IF('TT WD'!J9='TT WD'!F9,'TT WD'!F10&amp;"",IF('TT WD'!J9='TT WD'!F10,'TT WD'!F9&amp;"","—")))</f>
        <v/>
      </c>
      <c r="J10" s="7">
        <f>IF('TT WD'!J14="","—",'TT WD'!J14)</f>
        <v/>
      </c>
    </row>
    <row r="11">
      <c r="A11" s="4" t="inlineStr">
        <is>
          <t>Badminton Men's Singles</t>
        </is>
      </c>
      <c r="B11" s="5" t="inlineStr">
        <is>
          <t>Badminton MS</t>
        </is>
      </c>
      <c r="C11" s="6" t="n">
        <v>12</v>
      </c>
      <c r="D11" s="6" t="n">
        <v>12</v>
      </c>
      <c r="E11" s="6" t="n">
        <v>4</v>
      </c>
      <c r="F11" s="6" t="inlineStr">
        <is>
          <t>Sun 01 Nov</t>
        </is>
      </c>
      <c r="G11" s="6" t="inlineStr">
        <is>
          <t>Sun 01 Nov</t>
        </is>
      </c>
      <c r="H11" s="7">
        <f>IF('Badminton MS'!R21="","—",'Badminton MS'!R21)</f>
        <v/>
      </c>
      <c r="I11" s="7">
        <f>IF('Badminton MS'!R21="","—",IF('Badminton MS'!R21='Badminton MS'!N21,'Badminton MS'!N22&amp;"",IF('Badminton MS'!R21='Badminton MS'!N22,'Badminton MS'!N21&amp;"","—")))</f>
        <v/>
      </c>
      <c r="J11" s="7">
        <f>IF('Badminton MS'!R26="","—",'Badminton MS'!R26)</f>
        <v/>
      </c>
    </row>
    <row r="12">
      <c r="A12" s="4" t="inlineStr">
        <is>
          <t>Badminton Women's Singles</t>
        </is>
      </c>
      <c r="B12" s="5" t="inlineStr">
        <is>
          <t>Badminton WS</t>
        </is>
      </c>
      <c r="C12" s="6" t="n">
        <v>12</v>
      </c>
      <c r="D12" s="6" t="n">
        <v>12</v>
      </c>
      <c r="E12" s="6" t="n">
        <v>4</v>
      </c>
      <c r="F12" s="6" t="inlineStr">
        <is>
          <t>Sun 01 Nov</t>
        </is>
      </c>
      <c r="G12" s="6" t="inlineStr">
        <is>
          <t>Sun 01 Nov</t>
        </is>
      </c>
      <c r="H12" s="7">
        <f>IF('Badminton WS'!R21="","—",'Badminton WS'!R21)</f>
        <v/>
      </c>
      <c r="I12" s="7">
        <f>IF('Badminton WS'!R21="","—",IF('Badminton WS'!R21='Badminton WS'!N21,'Badminton WS'!N22&amp;"",IF('Badminton WS'!R21='Badminton WS'!N22,'Badminton WS'!N21&amp;"","—")))</f>
        <v/>
      </c>
      <c r="J12" s="7">
        <f>IF('Badminton WS'!R26="","—",'Badminton WS'!R26)</f>
        <v/>
      </c>
    </row>
    <row r="13">
      <c r="A13" s="4" t="inlineStr">
        <is>
          <t>Badminton Men's Doubles</t>
        </is>
      </c>
      <c r="B13" s="5" t="inlineStr">
        <is>
          <t>Badminton MD</t>
        </is>
      </c>
      <c r="C13" s="6" t="n">
        <v>11</v>
      </c>
      <c r="D13" s="6" t="n">
        <v>11</v>
      </c>
      <c r="E13" s="6" t="n">
        <v>5</v>
      </c>
      <c r="F13" s="6" t="inlineStr">
        <is>
          <t>Sun 01 Nov</t>
        </is>
      </c>
      <c r="G13" s="6" t="inlineStr">
        <is>
          <t>Sun 01 Nov</t>
        </is>
      </c>
      <c r="H13" s="7">
        <f>IF('Badminton MD'!R19="","—",'Badminton MD'!R19)</f>
        <v/>
      </c>
      <c r="I13" s="7">
        <f>IF('Badminton MD'!R19="","—",IF('Badminton MD'!R19='Badminton MD'!N19,'Badminton MD'!N20&amp;"",IF('Badminton MD'!R19='Badminton MD'!N20,'Badminton MD'!N19&amp;"","—")))</f>
        <v/>
      </c>
      <c r="J13" s="7">
        <f>IF('Badminton MD'!R24="","—",'Badminton MD'!R24)</f>
        <v/>
      </c>
    </row>
    <row r="14">
      <c r="A14" s="4" t="inlineStr">
        <is>
          <t>Badminton Women's Doubles</t>
        </is>
      </c>
      <c r="B14" s="5" t="inlineStr">
        <is>
          <t>Badminton WD</t>
        </is>
      </c>
      <c r="C14" s="6" t="n">
        <v>11</v>
      </c>
      <c r="D14" s="6" t="n">
        <v>11</v>
      </c>
      <c r="E14" s="6" t="n">
        <v>5</v>
      </c>
      <c r="F14" s="6" t="inlineStr">
        <is>
          <t>Sun 01 Nov</t>
        </is>
      </c>
      <c r="G14" s="6" t="inlineStr">
        <is>
          <t>Sun 01 Nov</t>
        </is>
      </c>
      <c r="H14" s="7">
        <f>IF('Badminton WD'!R19="","—",'Badminton WD'!R19)</f>
        <v/>
      </c>
      <c r="I14" s="7">
        <f>IF('Badminton WD'!R19="","—",IF('Badminton WD'!R19='Badminton WD'!N19,'Badminton WD'!N20&amp;"",IF('Badminton WD'!R19='Badminton WD'!N20,'Badminton WD'!N19&amp;"","—")))</f>
        <v/>
      </c>
      <c r="J14" s="7">
        <f>IF('Badminton WD'!R24="","—",'Badminton WD'!R24)</f>
        <v/>
      </c>
    </row>
    <row r="15">
      <c r="A15" s="4" t="inlineStr">
        <is>
          <t>Cricket</t>
        </is>
      </c>
      <c r="B15" s="5" t="inlineStr">
        <is>
          <t>Cricket</t>
        </is>
      </c>
      <c r="C15" s="6" t="n">
        <v>6</v>
      </c>
      <c r="D15" s="6" t="n">
        <v>10</v>
      </c>
      <c r="E15" s="6" t="n">
        <v>0</v>
      </c>
      <c r="F15" s="6" t="inlineStr">
        <is>
          <t>Tue 27 Oct</t>
        </is>
      </c>
      <c r="G15" s="6" t="inlineStr">
        <is>
          <t>Fri 06 Nov</t>
        </is>
      </c>
      <c r="H15" s="7">
        <f>IF('Cricket'!Y11="","—",'Cricket'!Y11)</f>
        <v/>
      </c>
      <c r="I15" s="7">
        <f>IF('Cricket'!Y11="","—",IF('Cricket'!Y11='Cricket'!T11,'Cricket'!T12&amp;"",IF('Cricket'!Y11='Cricket'!T12,'Cricket'!T11&amp;"","—")))</f>
        <v/>
      </c>
      <c r="J15" s="7">
        <f>IF('Cricket'!Y17="","—",'Cricket'!Y17)</f>
        <v/>
      </c>
    </row>
    <row r="16">
      <c r="A16" s="4" t="inlineStr">
        <is>
          <t>Football</t>
        </is>
      </c>
      <c r="B16" s="5" t="inlineStr">
        <is>
          <t>Football</t>
        </is>
      </c>
      <c r="C16" s="6" t="n">
        <v>6</v>
      </c>
      <c r="D16" s="6" t="n">
        <v>10</v>
      </c>
      <c r="E16" s="6" t="n">
        <v>0</v>
      </c>
      <c r="F16" s="6" t="inlineStr">
        <is>
          <t>Thu 29 Oct</t>
        </is>
      </c>
      <c r="G16" s="6" t="inlineStr">
        <is>
          <t>Fri 06 Nov</t>
        </is>
      </c>
      <c r="H16" s="7">
        <f>IF('Football'!Y11="","—",'Football'!Y11)</f>
        <v/>
      </c>
      <c r="I16" s="7">
        <f>IF('Football'!Y11="","—",IF('Football'!Y11='Football'!T11,'Football'!T12&amp;"",IF('Football'!Y11='Football'!T12,'Football'!T11&amp;"","—")))</f>
        <v/>
      </c>
      <c r="J16" s="7">
        <f>IF('Football'!Y17="","—",'Football'!Y17)</f>
        <v/>
      </c>
    </row>
    <row r="20">
      <c r="A20" s="8" t="inlineStr">
        <is>
          <t>Draw: random, with teammates kept apart in their first match; byes spread evenly across the bracket.</t>
        </is>
      </c>
    </row>
    <row r="21">
      <c r="A21" s="8" t="inlineStr">
        <is>
          <t>Chess Men, Women and Open entries are combined into one bracket. A grey team cell in a bracket = bye (starts in Round 2).</t>
        </is>
      </c>
    </row>
    <row r="22">
      <c r="A22" s="8" t="inlineStr">
        <is>
          <t>Team points for each final position (1st / 2nd / 3rd / 4th) are on the Standings sheet.</t>
        </is>
      </c>
    </row>
    <row r="23">
      <c r="A23" s="8" t="inlineStr">
        <is>
          <t>Chess, Carrom and TT: dates &amp; times on the Schedule sheet (Oct 15–26, no games on the Oct 20 holiday, finals Nov 2). Badminton: single full day Sun 01 Nov on 2 courts from 10:00, finals the same day. Cricket: 27 Oct – final 6 Nov. Football: 29 Oct – final 6 Nov. All dates &amp; times are on the Schedule sheet.</t>
        </is>
      </c>
    </row>
  </sheetData>
  <mergeCells count="2">
    <mergeCell ref="A1:J1"/>
    <mergeCell ref="A2:J2"/>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8" r:id="rId4"/>
    <hyperlink xmlns:r="http://schemas.openxmlformats.org/officeDocument/2006/relationships" ref="B9" r:id="rId5"/>
    <hyperlink xmlns:r="http://schemas.openxmlformats.org/officeDocument/2006/relationships" ref="B10" r:id="rId6"/>
    <hyperlink xmlns:r="http://schemas.openxmlformats.org/officeDocument/2006/relationships" ref="B11" r:id="rId7"/>
    <hyperlink xmlns:r="http://schemas.openxmlformats.org/officeDocument/2006/relationships" ref="B12" r:id="rId8"/>
    <hyperlink xmlns:r="http://schemas.openxmlformats.org/officeDocument/2006/relationships" ref="B13" r:id="rId9"/>
    <hyperlink xmlns:r="http://schemas.openxmlformats.org/officeDocument/2006/relationships" ref="B14" r:id="rId10"/>
    <hyperlink xmlns:r="http://schemas.openxmlformats.org/officeDocument/2006/relationships" ref="B15" r:id="rId11"/>
    <hyperlink xmlns:r="http://schemas.openxmlformats.org/officeDocument/2006/relationships" ref="B16"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selection activeCell="A1" sqref="A1"/>
    </sheetView>
  </sheetViews>
  <sheetFormatPr baseColWidth="8" defaultRowHeight="15"/>
  <cols>
    <col width="24" customWidth="1" min="1" max="1"/>
    <col width="22" customWidth="1" min="2" max="2"/>
    <col width="10" customWidth="1" min="3" max="3"/>
    <col width="10" customWidth="1" min="4" max="4"/>
    <col width="10" customWidth="1" min="5" max="5"/>
    <col width="10" customWidth="1" min="6" max="6"/>
    <col width="8" customWidth="1" min="7" max="7"/>
    <col width="34" customWidth="1" min="8" max="8"/>
    <col width="9" customWidth="1" min="9" max="9"/>
    <col width="20" customWidth="1" min="10" max="10"/>
    <col hidden="1" width="13" customWidth="1" min="11" max="11"/>
    <col hidden="1" width="13" customWidth="1" min="12" max="12"/>
  </cols>
  <sheetData>
    <row r="1" ht="30" customHeight="1">
      <c r="A1" s="1" t="inlineStr">
        <is>
          <t>Vonnue Cup — Team Standings</t>
        </is>
      </c>
    </row>
    <row r="2">
      <c r="A2" s="2" t="inlineStr">
        <is>
          <t>Points go to the team of the player / pair (or the team itself in Cricket &amp; Football) by final position in each event. No points for number of entries.</t>
        </is>
      </c>
    </row>
    <row r="4">
      <c r="A4" s="9" t="inlineStr">
        <is>
          <t>Points per position</t>
        </is>
      </c>
    </row>
    <row r="5">
      <c r="A5" s="10" t="inlineStr">
        <is>
          <t>1st</t>
        </is>
      </c>
      <c r="B5" s="11" t="n">
        <v>10</v>
      </c>
      <c r="C5" s="10" t="inlineStr">
        <is>
          <t>2nd</t>
        </is>
      </c>
      <c r="D5" s="11" t="n">
        <v>7</v>
      </c>
      <c r="E5" s="10" t="inlineStr">
        <is>
          <t>3rd</t>
        </is>
      </c>
      <c r="F5" s="11" t="n">
        <v>5</v>
      </c>
      <c r="G5" s="10" t="inlineStr">
        <is>
          <t>4th</t>
        </is>
      </c>
      <c r="H5" s="11" t="n">
        <v>3</v>
      </c>
    </row>
    <row r="6">
      <c r="A6" s="8" t="inlineStr">
        <is>
          <t>4th = loser of the 3rd place match. Same points in every event.</t>
        </is>
      </c>
    </row>
    <row r="8">
      <c r="A8" s="9" t="inlineStr">
        <is>
          <t>Event results</t>
        </is>
      </c>
      <c r="G8" s="9" t="inlineStr">
        <is>
          <t>Leaderboard</t>
        </is>
      </c>
    </row>
    <row r="9">
      <c r="A9" s="3" t="inlineStr">
        <is>
          <t>Event</t>
        </is>
      </c>
      <c r="B9" s="3" t="inlineStr">
        <is>
          <t>1st</t>
        </is>
      </c>
      <c r="C9" s="3" t="inlineStr">
        <is>
          <t>2nd</t>
        </is>
      </c>
      <c r="D9" s="3" t="inlineStr">
        <is>
          <t>3rd</t>
        </is>
      </c>
      <c r="E9" s="3" t="inlineStr">
        <is>
          <t>4th</t>
        </is>
      </c>
      <c r="G9" s="3" t="inlineStr">
        <is>
          <t>Pos</t>
        </is>
      </c>
      <c r="H9" s="3" t="inlineStr">
        <is>
          <t>Team</t>
        </is>
      </c>
      <c r="I9" s="3" t="inlineStr">
        <is>
          <t>Points</t>
        </is>
      </c>
      <c r="J9" s="3" t="inlineStr">
        <is>
          <t>1st / 2nd / 3rd / 4th</t>
        </is>
      </c>
    </row>
    <row r="10">
      <c r="A10" s="4" t="inlineStr">
        <is>
          <t>Chess</t>
        </is>
      </c>
      <c r="B10" s="12">
        <f>IF('Chess'!V37="","",'Chess'!U37)</f>
        <v/>
      </c>
      <c r="C10" s="12">
        <f>IF('Chess'!V37="","",IF('Chess'!V37='Chess'!R37,'Chess'!Q38,IF('Chess'!V37='Chess'!R38,'Chess'!Q37,"")))</f>
        <v/>
      </c>
      <c r="D10" s="12">
        <f>IF('Chess'!V42="","",'Chess'!U42)</f>
        <v/>
      </c>
      <c r="E10" s="12">
        <f>IF('Chess'!V42="","",IF('Chess'!V42='Chess'!R42,'Chess'!Q43,IF('Chess'!V42='Chess'!R43,'Chess'!Q42,"")))</f>
        <v/>
      </c>
      <c r="G10" s="13">
        <f>INDEX($H$25:$H$30,MATCH(LARGE($L$25:$L$30,1),$L$25:$L$30,0))</f>
        <v/>
      </c>
      <c r="H10" s="14">
        <f>INDEX($A$25:$A$30,MATCH(LARGE($L$25:$L$30,1),$L$25:$L$30,0))&amp;" – "&amp;INDEX($B$25:$B$30,MATCH(LARGE($L$25:$L$30,1),$L$25:$L$30,0))</f>
        <v/>
      </c>
      <c r="I10" s="15">
        <f>INDEX($G$25:$G$30,MATCH(LARGE($L$25:$L$30,1),$L$25:$L$30,0))</f>
        <v/>
      </c>
      <c r="J10" s="16">
        <f>INDEX($C$25:$C$30,MATCH(LARGE($L$25:$L$30,1),$L$25:$L$30,0))&amp;" / "&amp;INDEX($D$25:$D$30,MATCH(LARGE($L$25:$L$30,1),$L$25:$L$30,0))&amp;" / "&amp;INDEX($E$25:$E$30,MATCH(LARGE($L$25:$L$30,1),$L$25:$L$30,0))&amp;" / "&amp;INDEX($F$25:$F$30,MATCH(LARGE($L$25:$L$30,1),$L$25:$L$30,0))</f>
        <v/>
      </c>
    </row>
    <row r="11">
      <c r="A11" s="4" t="inlineStr">
        <is>
          <t>Carroms Doubles</t>
        </is>
      </c>
      <c r="B11" s="12">
        <f>IF('Carroms'!V37="","",'Carroms'!U37)</f>
        <v/>
      </c>
      <c r="C11" s="12">
        <f>IF('Carroms'!V37="","",IF('Carroms'!V37='Carroms'!R37,'Carroms'!Q38,IF('Carroms'!V37='Carroms'!R38,'Carroms'!Q37,"")))</f>
        <v/>
      </c>
      <c r="D11" s="12">
        <f>IF('Carroms'!V42="","",'Carroms'!U42)</f>
        <v/>
      </c>
      <c r="E11" s="12">
        <f>IF('Carroms'!V42="","",IF('Carroms'!V42='Carroms'!R42,'Carroms'!Q43,IF('Carroms'!V42='Carroms'!R43,'Carroms'!Q42,"")))</f>
        <v/>
      </c>
      <c r="G11" s="17">
        <f>INDEX($H$25:$H$30,MATCH(LARGE($L$25:$L$30,2),$L$25:$L$30,0))</f>
        <v/>
      </c>
      <c r="H11" s="18">
        <f>INDEX($A$25:$A$30,MATCH(LARGE($L$25:$L$30,2),$L$25:$L$30,0))&amp;" – "&amp;INDEX($B$25:$B$30,MATCH(LARGE($L$25:$L$30,2),$L$25:$L$30,0))</f>
        <v/>
      </c>
      <c r="I11" s="19">
        <f>INDEX($G$25:$G$30,MATCH(LARGE($L$25:$L$30,2),$L$25:$L$30,0))</f>
        <v/>
      </c>
      <c r="J11" s="20">
        <f>INDEX($C$25:$C$30,MATCH(LARGE($L$25:$L$30,2),$L$25:$L$30,0))&amp;" / "&amp;INDEX($D$25:$D$30,MATCH(LARGE($L$25:$L$30,2),$L$25:$L$30,0))&amp;" / "&amp;INDEX($E$25:$E$30,MATCH(LARGE($L$25:$L$30,2),$L$25:$L$30,0))&amp;" / "&amp;INDEX($F$25:$F$30,MATCH(LARGE($L$25:$L$30,2),$L$25:$L$30,0))</f>
        <v/>
      </c>
    </row>
    <row r="12">
      <c r="A12" s="4" t="inlineStr">
        <is>
          <t>TT Men's Singles</t>
        </is>
      </c>
      <c r="B12" s="12">
        <f>IF('TT MS'!V33="","",'TT MS'!U33)</f>
        <v/>
      </c>
      <c r="C12" s="12">
        <f>IF('TT MS'!V33="","",IF('TT MS'!V33='TT MS'!R33,'TT MS'!Q34,IF('TT MS'!V33='TT MS'!R34,'TT MS'!Q33,"")))</f>
        <v/>
      </c>
      <c r="D12" s="12">
        <f>IF('TT MS'!V38="","",'TT MS'!U38)</f>
        <v/>
      </c>
      <c r="E12" s="12">
        <f>IF('TT MS'!V38="","",IF('TT MS'!V38='TT MS'!R38,'TT MS'!Q39,IF('TT MS'!V38='TT MS'!R39,'TT MS'!Q38,"")))</f>
        <v/>
      </c>
      <c r="G12" s="21">
        <f>INDEX($H$25:$H$30,MATCH(LARGE($L$25:$L$30,3),$L$25:$L$30,0))</f>
        <v/>
      </c>
      <c r="H12" s="22">
        <f>INDEX($A$25:$A$30,MATCH(LARGE($L$25:$L$30,3),$L$25:$L$30,0))&amp;" – "&amp;INDEX($B$25:$B$30,MATCH(LARGE($L$25:$L$30,3),$L$25:$L$30,0))</f>
        <v/>
      </c>
      <c r="I12" s="23">
        <f>INDEX($G$25:$G$30,MATCH(LARGE($L$25:$L$30,3),$L$25:$L$30,0))</f>
        <v/>
      </c>
      <c r="J12" s="24">
        <f>INDEX($C$25:$C$30,MATCH(LARGE($L$25:$L$30,3),$L$25:$L$30,0))&amp;" / "&amp;INDEX($D$25:$D$30,MATCH(LARGE($L$25:$L$30,3),$L$25:$L$30,0))&amp;" / "&amp;INDEX($E$25:$E$30,MATCH(LARGE($L$25:$L$30,3),$L$25:$L$30,0))&amp;" / "&amp;INDEX($F$25:$F$30,MATCH(LARGE($L$25:$L$30,3),$L$25:$L$30,0))</f>
        <v/>
      </c>
    </row>
    <row r="13">
      <c r="A13" s="4" t="inlineStr">
        <is>
          <t>TT Women's Singles</t>
        </is>
      </c>
      <c r="B13" s="12">
        <f>IF('TT WS'!N13="","",'TT WS'!M13)</f>
        <v/>
      </c>
      <c r="C13" s="12">
        <f>IF('TT WS'!N13="","",IF('TT WS'!N13='TT WS'!J13,'TT WS'!I14,IF('TT WS'!N13='TT WS'!J14,'TT WS'!I13,"")))</f>
        <v/>
      </c>
      <c r="D13" s="12">
        <f>IF('TT WS'!N18="","",'TT WS'!M18)</f>
        <v/>
      </c>
      <c r="E13" s="12">
        <f>IF('TT WS'!N18="","",IF('TT WS'!N18='TT WS'!J18,'TT WS'!I19,IF('TT WS'!N18='TT WS'!J19,'TT WS'!I18,"")))</f>
        <v/>
      </c>
      <c r="G13" s="25">
        <f>INDEX($H$25:$H$30,MATCH(LARGE($L$25:$L$30,4),$L$25:$L$30,0))</f>
        <v/>
      </c>
      <c r="H13" s="4">
        <f>INDEX($A$25:$A$30,MATCH(LARGE($L$25:$L$30,4),$L$25:$L$30,0))&amp;" – "&amp;INDEX($B$25:$B$30,MATCH(LARGE($L$25:$L$30,4),$L$25:$L$30,0))</f>
        <v/>
      </c>
      <c r="I13" s="26">
        <f>INDEX($G$25:$G$30,MATCH(LARGE($L$25:$L$30,4),$L$25:$L$30,0))</f>
        <v/>
      </c>
      <c r="J13" s="12">
        <f>INDEX($C$25:$C$30,MATCH(LARGE($L$25:$L$30,4),$L$25:$L$30,0))&amp;" / "&amp;INDEX($D$25:$D$30,MATCH(LARGE($L$25:$L$30,4),$L$25:$L$30,0))&amp;" / "&amp;INDEX($E$25:$E$30,MATCH(LARGE($L$25:$L$30,4),$L$25:$L$30,0))&amp;" / "&amp;INDEX($F$25:$F$30,MATCH(LARGE($L$25:$L$30,4),$L$25:$L$30,0))</f>
        <v/>
      </c>
    </row>
    <row r="14">
      <c r="A14" s="4" t="inlineStr">
        <is>
          <t>TT Men's Doubles</t>
        </is>
      </c>
      <c r="B14" s="12">
        <f>IF('TT MD'!R21="","",'TT MD'!Q21)</f>
        <v/>
      </c>
      <c r="C14" s="12">
        <f>IF('TT MD'!R21="","",IF('TT MD'!R21='TT MD'!N21,'TT MD'!M22,IF('TT MD'!R21='TT MD'!N22,'TT MD'!M21,"")))</f>
        <v/>
      </c>
      <c r="D14" s="12">
        <f>IF('TT MD'!R26="","",'TT MD'!Q26)</f>
        <v/>
      </c>
      <c r="E14" s="12">
        <f>IF('TT MD'!R26="","",IF('TT MD'!R26='TT MD'!N26,'TT MD'!M27,IF('TT MD'!R26='TT MD'!N27,'TT MD'!M26,"")))</f>
        <v/>
      </c>
      <c r="G14" s="25">
        <f>INDEX($H$25:$H$30,MATCH(LARGE($L$25:$L$30,5),$L$25:$L$30,0))</f>
        <v/>
      </c>
      <c r="H14" s="4">
        <f>INDEX($A$25:$A$30,MATCH(LARGE($L$25:$L$30,5),$L$25:$L$30,0))&amp;" – "&amp;INDEX($B$25:$B$30,MATCH(LARGE($L$25:$L$30,5),$L$25:$L$30,0))</f>
        <v/>
      </c>
      <c r="I14" s="26">
        <f>INDEX($G$25:$G$30,MATCH(LARGE($L$25:$L$30,5),$L$25:$L$30,0))</f>
        <v/>
      </c>
      <c r="J14" s="12">
        <f>INDEX($C$25:$C$30,MATCH(LARGE($L$25:$L$30,5),$L$25:$L$30,0))&amp;" / "&amp;INDEX($D$25:$D$30,MATCH(LARGE($L$25:$L$30,5),$L$25:$L$30,0))&amp;" / "&amp;INDEX($E$25:$E$30,MATCH(LARGE($L$25:$L$30,5),$L$25:$L$30,0))&amp;" / "&amp;INDEX($F$25:$F$30,MATCH(LARGE($L$25:$L$30,5),$L$25:$L$30,0))</f>
        <v/>
      </c>
    </row>
    <row r="15">
      <c r="A15" s="4" t="inlineStr">
        <is>
          <t>TT Women's Doubles</t>
        </is>
      </c>
      <c r="B15" s="12">
        <f>IF('TT WD'!J9="","",'TT WD'!I9)</f>
        <v/>
      </c>
      <c r="C15" s="12">
        <f>IF('TT WD'!J9="","",IF('TT WD'!J9='TT WD'!F9,'TT WD'!E10,IF('TT WD'!J9='TT WD'!F10,'TT WD'!E9,"")))</f>
        <v/>
      </c>
      <c r="D15" s="12">
        <f>IF('TT WD'!J14="","",'TT WD'!I14)</f>
        <v/>
      </c>
      <c r="E15" s="12">
        <f>IF('TT WD'!J14="","",IF('TT WD'!J14='TT WD'!F14,'TT WD'!E15,IF('TT WD'!J14='TT WD'!F15,'TT WD'!E14,"")))</f>
        <v/>
      </c>
      <c r="G15" s="25">
        <f>INDEX($H$25:$H$30,MATCH(LARGE($L$25:$L$30,6),$L$25:$L$30,0))</f>
        <v/>
      </c>
      <c r="H15" s="4">
        <f>INDEX($A$25:$A$30,MATCH(LARGE($L$25:$L$30,6),$L$25:$L$30,0))&amp;" – "&amp;INDEX($B$25:$B$30,MATCH(LARGE($L$25:$L$30,6),$L$25:$L$30,0))</f>
        <v/>
      </c>
      <c r="I15" s="26">
        <f>INDEX($G$25:$G$30,MATCH(LARGE($L$25:$L$30,6),$L$25:$L$30,0))</f>
        <v/>
      </c>
      <c r="J15" s="12">
        <f>INDEX($C$25:$C$30,MATCH(LARGE($L$25:$L$30,6),$L$25:$L$30,0))&amp;" / "&amp;INDEX($D$25:$D$30,MATCH(LARGE($L$25:$L$30,6),$L$25:$L$30,0))&amp;" / "&amp;INDEX($E$25:$E$30,MATCH(LARGE($L$25:$L$30,6),$L$25:$L$30,0))&amp;" / "&amp;INDEX($F$25:$F$30,MATCH(LARGE($L$25:$L$30,6),$L$25:$L$30,0))</f>
        <v/>
      </c>
    </row>
    <row r="16">
      <c r="A16" s="4" t="inlineStr">
        <is>
          <t>Badminton Men's Singles</t>
        </is>
      </c>
      <c r="B16" s="12">
        <f>IF('Badminton MS'!R21="","",'Badminton MS'!Q21)</f>
        <v/>
      </c>
      <c r="C16" s="12">
        <f>IF('Badminton MS'!R21="","",IF('Badminton MS'!R21='Badminton MS'!N21,'Badminton MS'!M22,IF('Badminton MS'!R21='Badminton MS'!N22,'Badminton MS'!M21,"")))</f>
        <v/>
      </c>
      <c r="D16" s="12">
        <f>IF('Badminton MS'!R26="","",'Badminton MS'!Q26)</f>
        <v/>
      </c>
      <c r="E16" s="12">
        <f>IF('Badminton MS'!R26="","",IF('Badminton MS'!R26='Badminton MS'!N26,'Badminton MS'!M27,IF('Badminton MS'!R26='Badminton MS'!N27,'Badminton MS'!M26,"")))</f>
        <v/>
      </c>
      <c r="G16" s="8" t="inlineStr">
        <is>
          <t>Ties on points: more 1st places, then 2nd, then 3rd ranks higher.</t>
        </is>
      </c>
    </row>
    <row r="17">
      <c r="A17" s="4" t="inlineStr">
        <is>
          <t>Badminton Women's Singles</t>
        </is>
      </c>
      <c r="B17" s="12">
        <f>IF('Badminton WS'!R21="","",'Badminton WS'!Q21)</f>
        <v/>
      </c>
      <c r="C17" s="12">
        <f>IF('Badminton WS'!R21="","",IF('Badminton WS'!R21='Badminton WS'!N21,'Badminton WS'!M22,IF('Badminton WS'!R21='Badminton WS'!N22,'Badminton WS'!M21,"")))</f>
        <v/>
      </c>
      <c r="D17" s="12">
        <f>IF('Badminton WS'!R26="","",'Badminton WS'!Q26)</f>
        <v/>
      </c>
      <c r="E17" s="12">
        <f>IF('Badminton WS'!R26="","",IF('Badminton WS'!R26='Badminton WS'!N26,'Badminton WS'!M27,IF('Badminton WS'!R26='Badminton WS'!N27,'Badminton WS'!M26,"")))</f>
        <v/>
      </c>
    </row>
    <row r="18">
      <c r="A18" s="4" t="inlineStr">
        <is>
          <t>Badminton Men's Doubles</t>
        </is>
      </c>
      <c r="B18" s="12">
        <f>IF('Badminton MD'!R19="","",'Badminton MD'!Q19)</f>
        <v/>
      </c>
      <c r="C18" s="12">
        <f>IF('Badminton MD'!R19="","",IF('Badminton MD'!R19='Badminton MD'!N19,'Badminton MD'!M20,IF('Badminton MD'!R19='Badminton MD'!N20,'Badminton MD'!M19,"")))</f>
        <v/>
      </c>
      <c r="D18" s="12">
        <f>IF('Badminton MD'!R24="","",'Badminton MD'!Q24)</f>
        <v/>
      </c>
      <c r="E18" s="12">
        <f>IF('Badminton MD'!R24="","",IF('Badminton MD'!R24='Badminton MD'!N24,'Badminton MD'!M25,IF('Badminton MD'!R24='Badminton MD'!N25,'Badminton MD'!M24,"")))</f>
        <v/>
      </c>
    </row>
    <row r="19">
      <c r="A19" s="4" t="inlineStr">
        <is>
          <t>Badminton Women's Doubles</t>
        </is>
      </c>
      <c r="B19" s="12">
        <f>IF('Badminton WD'!R19="","",'Badminton WD'!Q19)</f>
        <v/>
      </c>
      <c r="C19" s="12">
        <f>IF('Badminton WD'!R19="","",IF('Badminton WD'!R19='Badminton WD'!N19,'Badminton WD'!M20,IF('Badminton WD'!R19='Badminton WD'!N20,'Badminton WD'!M19,"")))</f>
        <v/>
      </c>
      <c r="D19" s="12">
        <f>IF('Badminton WD'!R24="","",'Badminton WD'!Q24)</f>
        <v/>
      </c>
      <c r="E19" s="12">
        <f>IF('Badminton WD'!R24="","",IF('Badminton WD'!R24='Badminton WD'!N24,'Badminton WD'!M25,IF('Badminton WD'!R24='Badminton WD'!N25,'Badminton WD'!M24,"")))</f>
        <v/>
      </c>
    </row>
    <row r="20">
      <c r="A20" s="4" t="inlineStr">
        <is>
          <t>Cricket</t>
        </is>
      </c>
      <c r="B20" s="12">
        <f>IF('Cricket'!Y11="","",IFERROR(INDEX('Cricket'!$A$1:$A$20,MATCH('Cricket'!Y11,'Cricket'!$K$1:$K$20,0)),""))</f>
        <v/>
      </c>
      <c r="C20" s="12">
        <f>IF('Cricket'!Y11="","",IFERROR(INDEX('Cricket'!$A$1:$A$20,MATCH(IF('Cricket'!Y11="","",IF('Cricket'!Y11='Cricket'!T11,'Cricket'!T12,IF('Cricket'!Y11='Cricket'!T12,'Cricket'!T11,""))),'Cricket'!$K$1:$K$20,0)),""))</f>
        <v/>
      </c>
      <c r="D20" s="12">
        <f>IF('Cricket'!Y17="","",IFERROR(INDEX('Cricket'!$A$1:$A$20,MATCH('Cricket'!Y17,'Cricket'!$K$1:$K$20,0)),""))</f>
        <v/>
      </c>
      <c r="E20" s="12">
        <f>IF('Cricket'!Y17="","",IFERROR(INDEX('Cricket'!$A$1:$A$20,MATCH(IF('Cricket'!Y17="","",IF('Cricket'!Y17='Cricket'!T17,'Cricket'!T18,IF('Cricket'!Y17='Cricket'!T18,'Cricket'!T17,""))),'Cricket'!$K$1:$K$20,0)),""))</f>
        <v/>
      </c>
    </row>
    <row r="21">
      <c r="A21" s="4" t="inlineStr">
        <is>
          <t>Football</t>
        </is>
      </c>
      <c r="B21" s="12">
        <f>IF('Football'!Y11="","",IFERROR(INDEX('Football'!$A$1:$A$20,MATCH('Football'!Y11,'Football'!$K$1:$K$20,0)),""))</f>
        <v/>
      </c>
      <c r="C21" s="12">
        <f>IF('Football'!Y11="","",IFERROR(INDEX('Football'!$A$1:$A$20,MATCH(IF('Football'!Y11="","",IF('Football'!Y11='Football'!T11,'Football'!T12,IF('Football'!Y11='Football'!T12,'Football'!T11,""))),'Football'!$K$1:$K$20,0)),""))</f>
        <v/>
      </c>
      <c r="D21" s="12">
        <f>IF('Football'!Y17="","",IFERROR(INDEX('Football'!$A$1:$A$20,MATCH('Football'!Y17,'Football'!$K$1:$K$20,0)),""))</f>
        <v/>
      </c>
      <c r="E21" s="12">
        <f>IF('Football'!Y17="","",IFERROR(INDEX('Football'!$A$1:$A$20,MATCH(IF('Football'!Y17="","",IF('Football'!Y17='Football'!T17,'Football'!T18,IF('Football'!Y17='Football'!T18,'Football'!T17,""))),'Football'!$K$1:$K$20,0)),""))</f>
        <v/>
      </c>
    </row>
    <row r="23">
      <c r="A23" s="9" t="inlineStr">
        <is>
          <t>Points by team</t>
        </is>
      </c>
    </row>
    <row r="24">
      <c r="A24" s="3" t="inlineStr">
        <is>
          <t>Team</t>
        </is>
      </c>
      <c r="B24" s="3" t="inlineStr">
        <is>
          <t>Team Name</t>
        </is>
      </c>
      <c r="C24" s="3" t="inlineStr">
        <is>
          <t>1st</t>
        </is>
      </c>
      <c r="D24" s="3" t="inlineStr">
        <is>
          <t>2nd</t>
        </is>
      </c>
      <c r="E24" s="3" t="inlineStr">
        <is>
          <t>3rd</t>
        </is>
      </c>
      <c r="F24" s="3" t="inlineStr">
        <is>
          <t>4th</t>
        </is>
      </c>
      <c r="G24" s="3" t="inlineStr">
        <is>
          <t>Points</t>
        </is>
      </c>
      <c r="H24" s="3" t="inlineStr">
        <is>
          <t>Rank</t>
        </is>
      </c>
    </row>
    <row r="25">
      <c r="A25" s="25" t="inlineStr">
        <is>
          <t>Team 1</t>
        </is>
      </c>
      <c r="B25" s="27" t="inlineStr">
        <is>
          <t>Rajarajeshwari United</t>
        </is>
      </c>
      <c r="C25" s="12">
        <f>COUNTIF($B$10:$B$21,$A25)</f>
        <v/>
      </c>
      <c r="D25" s="12">
        <f>COUNTIF($C$10:$C$21,$A25)</f>
        <v/>
      </c>
      <c r="E25" s="12">
        <f>COUNTIF($D$10:$D$21,$A25)</f>
        <v/>
      </c>
      <c r="F25" s="12">
        <f>COUNTIF($E$10:$E$21,$A25)</f>
        <v/>
      </c>
      <c r="G25" s="25">
        <f>C25*$B$5+D25*$D$5+E25*$F$5+F25*$H$5</f>
        <v/>
      </c>
      <c r="H25" s="25">
        <f>1+COUNTIF($K$25:$K$30,"&gt;"&amp;K25)</f>
        <v/>
      </c>
      <c r="K25">
        <f>G25*1000000+C25*10000+D25*100+E25</f>
        <v/>
      </c>
      <c r="L25">
        <f>K25+(10-1)/100</f>
        <v/>
      </c>
    </row>
    <row r="26">
      <c r="A26" s="25" t="inlineStr">
        <is>
          <t>Team 2</t>
        </is>
      </c>
      <c r="B26" s="27" t="inlineStr">
        <is>
          <t>Jeem Boom Baa</t>
        </is>
      </c>
      <c r="C26" s="12">
        <f>COUNTIF($B$10:$B$21,$A26)</f>
        <v/>
      </c>
      <c r="D26" s="12">
        <f>COUNTIF($C$10:$C$21,$A26)</f>
        <v/>
      </c>
      <c r="E26" s="12">
        <f>COUNTIF($D$10:$D$21,$A26)</f>
        <v/>
      </c>
      <c r="F26" s="12">
        <f>COUNTIF($E$10:$E$21,$A26)</f>
        <v/>
      </c>
      <c r="G26" s="25">
        <f>C26*$B$5+D26*$D$5+E26*$F$5+F26*$H$5</f>
        <v/>
      </c>
      <c r="H26" s="25">
        <f>1+COUNTIF($K$25:$K$30,"&gt;"&amp;K26)</f>
        <v/>
      </c>
      <c r="K26">
        <f>G26*1000000+C26*10000+D26*100+E26</f>
        <v/>
      </c>
      <c r="L26">
        <f>K26+(10-2)/100</f>
        <v/>
      </c>
    </row>
    <row r="27">
      <c r="A27" s="25" t="inlineStr">
        <is>
          <t>Team 3</t>
        </is>
      </c>
      <c r="B27" s="27" t="inlineStr">
        <is>
          <t>Dr. D</t>
        </is>
      </c>
      <c r="C27" s="12">
        <f>COUNTIF($B$10:$B$21,$A27)</f>
        <v/>
      </c>
      <c r="D27" s="12">
        <f>COUNTIF($C$10:$C$21,$A27)</f>
        <v/>
      </c>
      <c r="E27" s="12">
        <f>COUNTIF($D$10:$D$21,$A27)</f>
        <v/>
      </c>
      <c r="F27" s="12">
        <f>COUNTIF($E$10:$E$21,$A27)</f>
        <v/>
      </c>
      <c r="G27" s="25">
        <f>C27*$B$5+D27*$D$5+E27*$F$5+F27*$H$5</f>
        <v/>
      </c>
      <c r="H27" s="25">
        <f>1+COUNTIF($K$25:$K$30,"&gt;"&amp;K27)</f>
        <v/>
      </c>
      <c r="K27">
        <f>G27*1000000+C27*10000+D27*100+E27</f>
        <v/>
      </c>
      <c r="L27">
        <f>K27+(10-3)/100</f>
        <v/>
      </c>
    </row>
    <row r="28">
      <c r="A28" s="25" t="inlineStr">
        <is>
          <t>Team 4</t>
        </is>
      </c>
      <c r="B28" s="27" t="inlineStr">
        <is>
          <t>Thoofan</t>
        </is>
      </c>
      <c r="C28" s="12">
        <f>COUNTIF($B$10:$B$21,$A28)</f>
        <v/>
      </c>
      <c r="D28" s="12">
        <f>COUNTIF($C$10:$C$21,$A28)</f>
        <v/>
      </c>
      <c r="E28" s="12">
        <f>COUNTIF($D$10:$D$21,$A28)</f>
        <v/>
      </c>
      <c r="F28" s="12">
        <f>COUNTIF($E$10:$E$21,$A28)</f>
        <v/>
      </c>
      <c r="G28" s="25">
        <f>C28*$B$5+D28*$D$5+E28*$F$5+F28*$H$5</f>
        <v/>
      </c>
      <c r="H28" s="25">
        <f>1+COUNTIF($K$25:$K$30,"&gt;"&amp;K28)</f>
        <v/>
      </c>
      <c r="K28">
        <f>G28*1000000+C28*10000+D28*100+E28</f>
        <v/>
      </c>
      <c r="L28">
        <f>K28+(10-4)/100</f>
        <v/>
      </c>
    </row>
    <row r="29">
      <c r="A29" s="25" t="inlineStr">
        <is>
          <t>Team 5</t>
        </is>
      </c>
      <c r="B29" s="27" t="inlineStr">
        <is>
          <t>Dhurandhar</t>
        </is>
      </c>
      <c r="C29" s="12">
        <f>COUNTIF($B$10:$B$21,$A29)</f>
        <v/>
      </c>
      <c r="D29" s="12">
        <f>COUNTIF($C$10:$C$21,$A29)</f>
        <v/>
      </c>
      <c r="E29" s="12">
        <f>COUNTIF($D$10:$D$21,$A29)</f>
        <v/>
      </c>
      <c r="F29" s="12">
        <f>COUNTIF($E$10:$E$21,$A29)</f>
        <v/>
      </c>
      <c r="G29" s="25">
        <f>C29*$B$5+D29*$D$5+E29*$F$5+F29*$H$5</f>
        <v/>
      </c>
      <c r="H29" s="25">
        <f>1+COUNTIF($K$25:$K$30,"&gt;"&amp;K29)</f>
        <v/>
      </c>
      <c r="K29">
        <f>G29*1000000+C29*10000+D29*100+E29</f>
        <v/>
      </c>
      <c r="L29">
        <f>K29+(10-5)/100</f>
        <v/>
      </c>
    </row>
    <row r="30">
      <c r="A30" s="25" t="inlineStr">
        <is>
          <t>Team 6</t>
        </is>
      </c>
      <c r="B30" s="27" t="inlineStr">
        <is>
          <t>Aaram Thamburan</t>
        </is>
      </c>
      <c r="C30" s="12">
        <f>COUNTIF($B$10:$B$21,$A30)</f>
        <v/>
      </c>
      <c r="D30" s="12">
        <f>COUNTIF($C$10:$C$21,$A30)</f>
        <v/>
      </c>
      <c r="E30" s="12">
        <f>COUNTIF($D$10:$D$21,$A30)</f>
        <v/>
      </c>
      <c r="F30" s="12">
        <f>COUNTIF($E$10:$E$21,$A30)</f>
        <v/>
      </c>
      <c r="G30" s="25">
        <f>C30*$B$5+D30*$D$5+E30*$F$5+F30*$H$5</f>
        <v/>
      </c>
      <c r="H30" s="25">
        <f>1+COUNTIF($K$25:$K$30,"&gt;"&amp;K30)</f>
        <v/>
      </c>
      <c r="K30">
        <f>G30*1000000+C30*10000+D30*100+E30</f>
        <v/>
      </c>
      <c r="L30">
        <f>K30+(10-6)/100</f>
        <v/>
      </c>
    </row>
  </sheetData>
  <mergeCells count="3">
    <mergeCell ref="A1:J1"/>
    <mergeCell ref="G8:J8"/>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04"/>
  <sheetViews>
    <sheetView showGridLines="0" workbookViewId="0">
      <pane ySplit="4" topLeftCell="A5" activePane="bottomLeft" state="frozen"/>
      <selection pane="bottomLeft" activeCell="A1" sqref="A1"/>
    </sheetView>
  </sheetViews>
  <sheetFormatPr baseColWidth="8" defaultRowHeight="15"/>
  <cols>
    <col width="16" customWidth="1" min="1" max="1"/>
    <col width="8" customWidth="1" min="2" max="2"/>
    <col width="8" customWidth="1" min="3" max="3"/>
    <col width="17" customWidth="1" min="4" max="4"/>
    <col width="26" customWidth="1" min="5" max="5"/>
    <col width="13" customWidth="1" min="6" max="6"/>
    <col width="12" customWidth="1" min="7" max="7"/>
    <col width="32" customWidth="1" min="8" max="8"/>
    <col width="32" customWidth="1" min="9" max="9"/>
  </cols>
  <sheetData>
    <row r="1" ht="30" customHeight="1">
      <c r="A1" s="1" t="inlineStr">
        <is>
          <t>Vonnue Cup — Full Schedule</t>
        </is>
      </c>
    </row>
    <row r="2">
      <c r="A2" s="2" t="inlineStr">
        <is>
          <t>All events in date order.</t>
        </is>
      </c>
    </row>
    <row r="4">
      <c r="A4" s="3" t="inlineStr">
        <is>
          <t>Date</t>
        </is>
      </c>
      <c r="B4" s="3" t="inlineStr">
        <is>
          <t>Start</t>
        </is>
      </c>
      <c r="C4" s="3" t="inlineStr">
        <is>
          <t>End</t>
        </is>
      </c>
      <c r="D4" s="3" t="inlineStr">
        <is>
          <t>Venue</t>
        </is>
      </c>
      <c r="E4" s="3" t="inlineStr">
        <is>
          <t>Event</t>
        </is>
      </c>
      <c r="F4" s="3" t="inlineStr">
        <is>
          <t>Round</t>
        </is>
      </c>
      <c r="G4" s="3" t="inlineStr">
        <is>
          <t>Match ID</t>
        </is>
      </c>
      <c r="H4" s="3" t="inlineStr">
        <is>
          <t>Player / Team 1</t>
        </is>
      </c>
      <c r="I4" s="3" t="inlineStr">
        <is>
          <t>Player / Team 2</t>
        </is>
      </c>
    </row>
    <row r="5">
      <c r="A5" s="28" t="inlineStr">
        <is>
          <t>Thursday 15 October   ·   28 matches</t>
        </is>
      </c>
    </row>
    <row r="6">
      <c r="A6" s="6" t="inlineStr">
        <is>
          <t>Thu 15 Oct</t>
        </is>
      </c>
      <c r="B6" s="25" t="inlineStr">
        <is>
          <t>18:00</t>
        </is>
      </c>
      <c r="C6" s="6" t="inlineStr">
        <is>
          <t>18:12</t>
        </is>
      </c>
      <c r="D6" s="27" t="inlineStr">
        <is>
          <t>TT table</t>
        </is>
      </c>
      <c r="E6" s="27" t="inlineStr">
        <is>
          <t>TT Men's Singles</t>
        </is>
      </c>
      <c r="F6" s="6" t="inlineStr">
        <is>
          <t>Round 1</t>
        </is>
      </c>
      <c r="G6" s="29" t="inlineStr">
        <is>
          <t>TMS-R1-01</t>
        </is>
      </c>
      <c r="H6" s="30">
        <f>IF('TT MS'!B7="","Bilal",'TT MS'!B7)</f>
        <v/>
      </c>
      <c r="I6" s="30">
        <f>IF('TT MS'!B8="","Rithik",'TT MS'!B8)</f>
        <v/>
      </c>
    </row>
    <row r="7">
      <c r="A7" s="6" t="inlineStr">
        <is>
          <t>Thu 15 Oct</t>
        </is>
      </c>
      <c r="B7" s="25" t="inlineStr">
        <is>
          <t>18:00</t>
        </is>
      </c>
      <c r="C7" s="6" t="inlineStr">
        <is>
          <t>18:18</t>
        </is>
      </c>
      <c r="D7" s="27" t="inlineStr">
        <is>
          <t>Carrom board</t>
        </is>
      </c>
      <c r="E7" s="27" t="inlineStr">
        <is>
          <t>Carroms Doubles</t>
        </is>
      </c>
      <c r="F7" s="6" t="inlineStr">
        <is>
          <t>Round 1</t>
        </is>
      </c>
      <c r="G7" s="29" t="inlineStr">
        <is>
          <t>CR-R1-01</t>
        </is>
      </c>
      <c r="H7" s="30">
        <f>IF('Carroms'!B7="","Merrin &amp; Anandhakrishnan",'Carroms'!B7)</f>
        <v/>
      </c>
      <c r="I7" s="30">
        <f>IF('Carroms'!B8="","Joyel &amp; Shinu",'Carroms'!B8)</f>
        <v/>
      </c>
    </row>
    <row r="8">
      <c r="A8" s="6" t="inlineStr">
        <is>
          <t>Thu 15 Oct</t>
        </is>
      </c>
      <c r="B8" s="25" t="inlineStr">
        <is>
          <t>18:00</t>
        </is>
      </c>
      <c r="C8" s="6" t="inlineStr">
        <is>
          <t>18:25</t>
        </is>
      </c>
      <c r="D8" s="27" t="inlineStr">
        <is>
          <t>Chess (by phone)</t>
        </is>
      </c>
      <c r="E8" s="27" t="inlineStr">
        <is>
          <t>Chess</t>
        </is>
      </c>
      <c r="F8" s="6" t="inlineStr">
        <is>
          <t>Round 1</t>
        </is>
      </c>
      <c r="G8" s="29" t="inlineStr">
        <is>
          <t>CH-R1-01</t>
        </is>
      </c>
      <c r="H8" s="30">
        <f>IF('Chess'!B7="","Hrishikesh",'Chess'!B7)</f>
        <v/>
      </c>
      <c r="I8" s="30">
        <f>IF('Chess'!B8="","Solomon",'Chess'!B8)</f>
        <v/>
      </c>
    </row>
    <row r="9">
      <c r="A9" s="6" t="inlineStr">
        <is>
          <t>Thu 15 Oct</t>
        </is>
      </c>
      <c r="B9" s="25" t="inlineStr">
        <is>
          <t>18:00</t>
        </is>
      </c>
      <c r="C9" s="6" t="inlineStr">
        <is>
          <t>18:25</t>
        </is>
      </c>
      <c r="D9" s="27" t="inlineStr">
        <is>
          <t>Chess (by phone)</t>
        </is>
      </c>
      <c r="E9" s="27" t="inlineStr">
        <is>
          <t>Chess</t>
        </is>
      </c>
      <c r="F9" s="6" t="inlineStr">
        <is>
          <t>Round 1</t>
        </is>
      </c>
      <c r="G9" s="29" t="inlineStr">
        <is>
          <t>CH-R1-02</t>
        </is>
      </c>
      <c r="H9" s="30">
        <f>IF('Chess'!B15="","Shijil",'Chess'!B15)</f>
        <v/>
      </c>
      <c r="I9" s="30">
        <f>IF('Chess'!B16="","Anan",'Chess'!B16)</f>
        <v/>
      </c>
    </row>
    <row r="10">
      <c r="A10" s="6" t="inlineStr">
        <is>
          <t>Thu 15 Oct</t>
        </is>
      </c>
      <c r="B10" s="25" t="inlineStr">
        <is>
          <t>18:00</t>
        </is>
      </c>
      <c r="C10" s="6" t="inlineStr">
        <is>
          <t>18:25</t>
        </is>
      </c>
      <c r="D10" s="27" t="inlineStr">
        <is>
          <t>Chess (by phone)</t>
        </is>
      </c>
      <c r="E10" s="27" t="inlineStr">
        <is>
          <t>Chess</t>
        </is>
      </c>
      <c r="F10" s="6" t="inlineStr">
        <is>
          <t>Round 1</t>
        </is>
      </c>
      <c r="G10" s="29" t="inlineStr">
        <is>
          <t>CH-R1-03</t>
        </is>
      </c>
      <c r="H10" s="30">
        <f>IF('Chess'!B19="","Nivya Mathew",'Chess'!B19)</f>
        <v/>
      </c>
      <c r="I10" s="30">
        <f>IF('Chess'!B20="","Samin",'Chess'!B20)</f>
        <v/>
      </c>
    </row>
    <row r="11">
      <c r="A11" s="6" t="inlineStr">
        <is>
          <t>Thu 15 Oct</t>
        </is>
      </c>
      <c r="B11" s="25" t="inlineStr">
        <is>
          <t>18:00</t>
        </is>
      </c>
      <c r="C11" s="6" t="inlineStr">
        <is>
          <t>18:25</t>
        </is>
      </c>
      <c r="D11" s="27" t="inlineStr">
        <is>
          <t>Chess (by phone)</t>
        </is>
      </c>
      <c r="E11" s="27" t="inlineStr">
        <is>
          <t>Chess</t>
        </is>
      </c>
      <c r="F11" s="6" t="inlineStr">
        <is>
          <t>Round 1</t>
        </is>
      </c>
      <c r="G11" s="29" t="inlineStr">
        <is>
          <t>CH-R1-04</t>
        </is>
      </c>
      <c r="H11" s="30">
        <f>IF('Chess'!B23="","Sravan",'Chess'!B23)</f>
        <v/>
      </c>
      <c r="I11" s="30">
        <f>IF('Chess'!B24="","Mary Metilda",'Chess'!B24)</f>
        <v/>
      </c>
    </row>
    <row r="12">
      <c r="A12" s="6" t="inlineStr">
        <is>
          <t>Thu 15 Oct</t>
        </is>
      </c>
      <c r="B12" s="25" t="inlineStr">
        <is>
          <t>18:00</t>
        </is>
      </c>
      <c r="C12" s="6" t="inlineStr">
        <is>
          <t>18:25</t>
        </is>
      </c>
      <c r="D12" s="27" t="inlineStr">
        <is>
          <t>Chess (by phone)</t>
        </is>
      </c>
      <c r="E12" s="27" t="inlineStr">
        <is>
          <t>Chess</t>
        </is>
      </c>
      <c r="F12" s="6" t="inlineStr">
        <is>
          <t>Round 1</t>
        </is>
      </c>
      <c r="G12" s="29" t="inlineStr">
        <is>
          <t>CH-R1-05</t>
        </is>
      </c>
      <c r="H12" s="30">
        <f>IF('Chess'!B27="","Akshaya",'Chess'!B27)</f>
        <v/>
      </c>
      <c r="I12" s="30">
        <f>IF('Chess'!B28="","Bhadresh Das",'Chess'!B28)</f>
        <v/>
      </c>
    </row>
    <row r="13">
      <c r="A13" s="6" t="inlineStr">
        <is>
          <t>Thu 15 Oct</t>
        </is>
      </c>
      <c r="B13" s="25" t="inlineStr">
        <is>
          <t>18:00</t>
        </is>
      </c>
      <c r="C13" s="6" t="inlineStr">
        <is>
          <t>18:25</t>
        </is>
      </c>
      <c r="D13" s="27" t="inlineStr">
        <is>
          <t>Chess (by phone)</t>
        </is>
      </c>
      <c r="E13" s="27" t="inlineStr">
        <is>
          <t>Chess</t>
        </is>
      </c>
      <c r="F13" s="6" t="inlineStr">
        <is>
          <t>Round 1</t>
        </is>
      </c>
      <c r="G13" s="29" t="inlineStr">
        <is>
          <t>CH-R1-06</t>
        </is>
      </c>
      <c r="H13" s="30">
        <f>IF('Chess'!B31="","Gautham",'Chess'!B31)</f>
        <v/>
      </c>
      <c r="I13" s="30">
        <f>IF('Chess'!B32="","Nidheesh P V",'Chess'!B32)</f>
        <v/>
      </c>
    </row>
    <row r="14">
      <c r="A14" s="6" t="inlineStr">
        <is>
          <t>Thu 15 Oct</t>
        </is>
      </c>
      <c r="B14" s="25" t="inlineStr">
        <is>
          <t>18:00</t>
        </is>
      </c>
      <c r="C14" s="6" t="inlineStr">
        <is>
          <t>18:25</t>
        </is>
      </c>
      <c r="D14" s="27" t="inlineStr">
        <is>
          <t>Chess (by phone)</t>
        </is>
      </c>
      <c r="E14" s="27" t="inlineStr">
        <is>
          <t>Chess</t>
        </is>
      </c>
      <c r="F14" s="6" t="inlineStr">
        <is>
          <t>Round 1</t>
        </is>
      </c>
      <c r="G14" s="29" t="inlineStr">
        <is>
          <t>CH-R1-07</t>
        </is>
      </c>
      <c r="H14" s="30">
        <f>IF('Chess'!B35="","Nived",'Chess'!B35)</f>
        <v/>
      </c>
      <c r="I14" s="30">
        <f>IF('Chess'!B36="","Bonny",'Chess'!B36)</f>
        <v/>
      </c>
    </row>
    <row r="15">
      <c r="A15" s="6" t="inlineStr">
        <is>
          <t>Thu 15 Oct</t>
        </is>
      </c>
      <c r="B15" s="25" t="inlineStr">
        <is>
          <t>18:00</t>
        </is>
      </c>
      <c r="C15" s="6" t="inlineStr">
        <is>
          <t>18:25</t>
        </is>
      </c>
      <c r="D15" s="27" t="inlineStr">
        <is>
          <t>Chess (by phone)</t>
        </is>
      </c>
      <c r="E15" s="27" t="inlineStr">
        <is>
          <t>Chess</t>
        </is>
      </c>
      <c r="F15" s="6" t="inlineStr">
        <is>
          <t>Round 1</t>
        </is>
      </c>
      <c r="G15" s="29" t="inlineStr">
        <is>
          <t>CH-R1-08</t>
        </is>
      </c>
      <c r="H15" s="30">
        <f>IF('Chess'!B39="","Ashmil",'Chess'!B39)</f>
        <v/>
      </c>
      <c r="I15" s="30">
        <f>IF('Chess'!B40="","Ray",'Chess'!B40)</f>
        <v/>
      </c>
    </row>
    <row r="16">
      <c r="A16" s="6" t="inlineStr">
        <is>
          <t>Thu 15 Oct</t>
        </is>
      </c>
      <c r="B16" s="25" t="inlineStr">
        <is>
          <t>18:00</t>
        </is>
      </c>
      <c r="C16" s="6" t="inlineStr">
        <is>
          <t>18:25</t>
        </is>
      </c>
      <c r="D16" s="27" t="inlineStr">
        <is>
          <t>Chess (by phone)</t>
        </is>
      </c>
      <c r="E16" s="27" t="inlineStr">
        <is>
          <t>Chess</t>
        </is>
      </c>
      <c r="F16" s="6" t="inlineStr">
        <is>
          <t>Round 1</t>
        </is>
      </c>
      <c r="G16" s="29" t="inlineStr">
        <is>
          <t>CH-R1-09</t>
        </is>
      </c>
      <c r="H16" s="30">
        <f>IF('Chess'!B43="","Neha",'Chess'!B43)</f>
        <v/>
      </c>
      <c r="I16" s="30">
        <f>IF('Chess'!B44="","Shamil",'Chess'!B44)</f>
        <v/>
      </c>
    </row>
    <row r="17">
      <c r="A17" s="6" t="inlineStr">
        <is>
          <t>Thu 15 Oct</t>
        </is>
      </c>
      <c r="B17" s="25" t="inlineStr">
        <is>
          <t>18:00</t>
        </is>
      </c>
      <c r="C17" s="6" t="inlineStr">
        <is>
          <t>18:25</t>
        </is>
      </c>
      <c r="D17" s="27" t="inlineStr">
        <is>
          <t>Chess (by phone)</t>
        </is>
      </c>
      <c r="E17" s="27" t="inlineStr">
        <is>
          <t>Chess</t>
        </is>
      </c>
      <c r="F17" s="6" t="inlineStr">
        <is>
          <t>Round 1</t>
        </is>
      </c>
      <c r="G17" s="29" t="inlineStr">
        <is>
          <t>CH-R1-10</t>
        </is>
      </c>
      <c r="H17" s="30">
        <f>IF('Chess'!B47="","AnnMary",'Chess'!B47)</f>
        <v/>
      </c>
      <c r="I17" s="30">
        <f>IF('Chess'!B48="","Gokul",'Chess'!B48)</f>
        <v/>
      </c>
    </row>
    <row r="18">
      <c r="A18" s="6" t="inlineStr">
        <is>
          <t>Thu 15 Oct</t>
        </is>
      </c>
      <c r="B18" s="25" t="inlineStr">
        <is>
          <t>18:00</t>
        </is>
      </c>
      <c r="C18" s="6" t="inlineStr">
        <is>
          <t>18:25</t>
        </is>
      </c>
      <c r="D18" s="27" t="inlineStr">
        <is>
          <t>Chess (by phone)</t>
        </is>
      </c>
      <c r="E18" s="27" t="inlineStr">
        <is>
          <t>Chess</t>
        </is>
      </c>
      <c r="F18" s="6" t="inlineStr">
        <is>
          <t>Round 1</t>
        </is>
      </c>
      <c r="G18" s="29" t="inlineStr">
        <is>
          <t>CH-R1-11</t>
        </is>
      </c>
      <c r="H18" s="30">
        <f>IF('Chess'!B51="","Benison",'Chess'!B51)</f>
        <v/>
      </c>
      <c r="I18" s="30">
        <f>IF('Chess'!B52="","Anjaly",'Chess'!B52)</f>
        <v/>
      </c>
    </row>
    <row r="19">
      <c r="A19" s="6" t="inlineStr">
        <is>
          <t>Thu 15 Oct</t>
        </is>
      </c>
      <c r="B19" s="25" t="inlineStr">
        <is>
          <t>18:00</t>
        </is>
      </c>
      <c r="C19" s="6" t="inlineStr">
        <is>
          <t>18:25</t>
        </is>
      </c>
      <c r="D19" s="27" t="inlineStr">
        <is>
          <t>Chess (by phone)</t>
        </is>
      </c>
      <c r="E19" s="27" t="inlineStr">
        <is>
          <t>Chess</t>
        </is>
      </c>
      <c r="F19" s="6" t="inlineStr">
        <is>
          <t>Round 1</t>
        </is>
      </c>
      <c r="G19" s="29" t="inlineStr">
        <is>
          <t>CH-R1-12</t>
        </is>
      </c>
      <c r="H19" s="30">
        <f>IF('Chess'!B55="","Jithu",'Chess'!B55)</f>
        <v/>
      </c>
      <c r="I19" s="30">
        <f>IF('Chess'!B56="","Sradha Santhosh",'Chess'!B56)</f>
        <v/>
      </c>
    </row>
    <row r="20">
      <c r="A20" s="6" t="inlineStr">
        <is>
          <t>Thu 15 Oct</t>
        </is>
      </c>
      <c r="B20" s="25" t="inlineStr">
        <is>
          <t>18:00</t>
        </is>
      </c>
      <c r="C20" s="6" t="inlineStr">
        <is>
          <t>18:25</t>
        </is>
      </c>
      <c r="D20" s="27" t="inlineStr">
        <is>
          <t>Chess (by phone)</t>
        </is>
      </c>
      <c r="E20" s="27" t="inlineStr">
        <is>
          <t>Chess</t>
        </is>
      </c>
      <c r="F20" s="6" t="inlineStr">
        <is>
          <t>Round 1</t>
        </is>
      </c>
      <c r="G20" s="29" t="inlineStr">
        <is>
          <t>CH-R1-13</t>
        </is>
      </c>
      <c r="H20" s="30">
        <f>IF('Chess'!B59="","Renson",'Chess'!B59)</f>
        <v/>
      </c>
      <c r="I20" s="30">
        <f>IF('Chess'!B60="","Rajeesh C V",'Chess'!B60)</f>
        <v/>
      </c>
    </row>
    <row r="21">
      <c r="A21" s="6" t="inlineStr">
        <is>
          <t>Thu 15 Oct</t>
        </is>
      </c>
      <c r="B21" s="25" t="inlineStr">
        <is>
          <t>18:00</t>
        </is>
      </c>
      <c r="C21" s="6" t="inlineStr">
        <is>
          <t>18:25</t>
        </is>
      </c>
      <c r="D21" s="27" t="inlineStr">
        <is>
          <t>Chess (by phone)</t>
        </is>
      </c>
      <c r="E21" s="27" t="inlineStr">
        <is>
          <t>Chess</t>
        </is>
      </c>
      <c r="F21" s="6" t="inlineStr">
        <is>
          <t>Round 1</t>
        </is>
      </c>
      <c r="G21" s="29" t="inlineStr">
        <is>
          <t>CH-R1-14</t>
        </is>
      </c>
      <c r="H21" s="30">
        <f>IF('Chess'!B63="","Anurag",'Chess'!B63)</f>
        <v/>
      </c>
      <c r="I21" s="30">
        <f>IF('Chess'!B64="","Abhijith K V",'Chess'!B64)</f>
        <v/>
      </c>
    </row>
    <row r="22">
      <c r="A22" s="6" t="inlineStr">
        <is>
          <t>Thu 15 Oct</t>
        </is>
      </c>
      <c r="B22" s="25" t="inlineStr">
        <is>
          <t>18:15</t>
        </is>
      </c>
      <c r="C22" s="6" t="inlineStr">
        <is>
          <t>18:27</t>
        </is>
      </c>
      <c r="D22" s="27" t="inlineStr">
        <is>
          <t>TT table</t>
        </is>
      </c>
      <c r="E22" s="27" t="inlineStr">
        <is>
          <t>TT Men's Singles</t>
        </is>
      </c>
      <c r="F22" s="6" t="inlineStr">
        <is>
          <t>Round 1</t>
        </is>
      </c>
      <c r="G22" s="29" t="inlineStr">
        <is>
          <t>TMS-R1-04</t>
        </is>
      </c>
      <c r="H22" s="30">
        <f>IF('TT MS'!B35="","Deekshith",'TT MS'!B35)</f>
        <v/>
      </c>
      <c r="I22" s="30">
        <f>IF('TT MS'!B36="","Ansam",'TT MS'!B36)</f>
        <v/>
      </c>
    </row>
    <row r="23">
      <c r="A23" s="6" t="inlineStr">
        <is>
          <t>Thu 15 Oct</t>
        </is>
      </c>
      <c r="B23" s="25" t="inlineStr">
        <is>
          <t>18:21</t>
        </is>
      </c>
      <c r="C23" s="6" t="inlineStr">
        <is>
          <t>18:39</t>
        </is>
      </c>
      <c r="D23" s="27" t="inlineStr">
        <is>
          <t>Carrom board</t>
        </is>
      </c>
      <c r="E23" s="27" t="inlineStr">
        <is>
          <t>Carroms Doubles</t>
        </is>
      </c>
      <c r="F23" s="6" t="inlineStr">
        <is>
          <t>Round 1</t>
        </is>
      </c>
      <c r="G23" s="29" t="inlineStr">
        <is>
          <t>CR-R1-05</t>
        </is>
      </c>
      <c r="H23" s="30">
        <f>IF('Carroms'!B27="","Athira &amp; Anas",'Carroms'!B27)</f>
        <v/>
      </c>
      <c r="I23" s="30">
        <f>IF('Carroms'!B28="","Sarath Joseph &amp; Adhith Vinoj",'Carroms'!B28)</f>
        <v/>
      </c>
    </row>
    <row r="24">
      <c r="A24" s="6" t="inlineStr">
        <is>
          <t>Thu 15 Oct</t>
        </is>
      </c>
      <c r="B24" s="25" t="inlineStr">
        <is>
          <t>18:28</t>
        </is>
      </c>
      <c r="C24" s="6" t="inlineStr">
        <is>
          <t>18:53</t>
        </is>
      </c>
      <c r="D24" s="27" t="inlineStr">
        <is>
          <t>Chess (by phone)</t>
        </is>
      </c>
      <c r="E24" s="27" t="inlineStr">
        <is>
          <t>Chess</t>
        </is>
      </c>
      <c r="F24" s="6" t="inlineStr">
        <is>
          <t>Round 1</t>
        </is>
      </c>
      <c r="G24" s="29" t="inlineStr">
        <is>
          <t>CH-R1-15</t>
        </is>
      </c>
      <c r="H24" s="30">
        <f>IF('Chess'!B67="","Akshay Antony",'Chess'!B67)</f>
        <v/>
      </c>
      <c r="I24" s="30">
        <f>IF('Chess'!B68="","Merrin",'Chess'!B68)</f>
        <v/>
      </c>
    </row>
    <row r="25">
      <c r="A25" s="6" t="inlineStr">
        <is>
          <t>Thu 15 Oct</t>
        </is>
      </c>
      <c r="B25" s="25" t="inlineStr">
        <is>
          <t>18:30</t>
        </is>
      </c>
      <c r="C25" s="6" t="inlineStr">
        <is>
          <t>18:42</t>
        </is>
      </c>
      <c r="D25" s="27" t="inlineStr">
        <is>
          <t>TT table</t>
        </is>
      </c>
      <c r="E25" s="27" t="inlineStr">
        <is>
          <t>TT Men's Singles</t>
        </is>
      </c>
      <c r="F25" s="6" t="inlineStr">
        <is>
          <t>Round 1</t>
        </is>
      </c>
      <c r="G25" s="29" t="inlineStr">
        <is>
          <t>TMS-R1-03</t>
        </is>
      </c>
      <c r="H25" s="30">
        <f>IF('TT MS'!B27="","Abhishek P S",'TT MS'!B27)</f>
        <v/>
      </c>
      <c r="I25" s="30">
        <f>IF('TT MS'!B28="","Joyel",'TT MS'!B28)</f>
        <v/>
      </c>
    </row>
    <row r="26">
      <c r="A26" s="6" t="inlineStr">
        <is>
          <t>Thu 15 Oct</t>
        </is>
      </c>
      <c r="B26" s="25" t="inlineStr">
        <is>
          <t>18:42</t>
        </is>
      </c>
      <c r="C26" s="6" t="inlineStr">
        <is>
          <t>19:00</t>
        </is>
      </c>
      <c r="D26" s="27" t="inlineStr">
        <is>
          <t>Carrom board</t>
        </is>
      </c>
      <c r="E26" s="27" t="inlineStr">
        <is>
          <t>Carroms Doubles</t>
        </is>
      </c>
      <c r="F26" s="6" t="inlineStr">
        <is>
          <t>Round 1</t>
        </is>
      </c>
      <c r="G26" s="29" t="inlineStr">
        <is>
          <t>CR-R1-02</t>
        </is>
      </c>
      <c r="H26" s="30">
        <f>IF('Carroms'!B15="","Neethu &amp; Vidhu",'Carroms'!B15)</f>
        <v/>
      </c>
      <c r="I26" s="30">
        <f>IF('Carroms'!B16="","Ashmil &amp; Prajith",'Carroms'!B16)</f>
        <v/>
      </c>
    </row>
    <row r="27">
      <c r="A27" s="6" t="inlineStr">
        <is>
          <t>Thu 15 Oct</t>
        </is>
      </c>
      <c r="B27" s="25" t="inlineStr">
        <is>
          <t>18:45</t>
        </is>
      </c>
      <c r="C27" s="6" t="inlineStr">
        <is>
          <t>18:57</t>
        </is>
      </c>
      <c r="D27" s="27" t="inlineStr">
        <is>
          <t>TT table</t>
        </is>
      </c>
      <c r="E27" s="27" t="inlineStr">
        <is>
          <t>TT Men's Singles</t>
        </is>
      </c>
      <c r="F27" s="6" t="inlineStr">
        <is>
          <t>Round 1</t>
        </is>
      </c>
      <c r="G27" s="29" t="inlineStr">
        <is>
          <t>TMS-R1-02</t>
        </is>
      </c>
      <c r="H27" s="30">
        <f>IF('TT MS'!B19="","Nived",'TT MS'!B19)</f>
        <v/>
      </c>
      <c r="I27" s="30">
        <f>IF('TT MS'!B20="","Arshal Abbas",'TT MS'!B20)</f>
        <v/>
      </c>
    </row>
    <row r="28">
      <c r="A28" s="6" t="inlineStr">
        <is>
          <t>Thu 15 Oct</t>
        </is>
      </c>
      <c r="B28" s="25" t="inlineStr">
        <is>
          <t>19:00</t>
        </is>
      </c>
      <c r="C28" s="6" t="inlineStr">
        <is>
          <t>19:12</t>
        </is>
      </c>
      <c r="D28" s="27" t="inlineStr">
        <is>
          <t>TT table</t>
        </is>
      </c>
      <c r="E28" s="27" t="inlineStr">
        <is>
          <t>TT Men's Singles</t>
        </is>
      </c>
      <c r="F28" s="6" t="inlineStr">
        <is>
          <t>Round 1</t>
        </is>
      </c>
      <c r="G28" s="29" t="inlineStr">
        <is>
          <t>TMS-R1-05</t>
        </is>
      </c>
      <c r="H28" s="30">
        <f>IF('TT MS'!B47="","Rajeesh C V",'TT MS'!B47)</f>
        <v/>
      </c>
      <c r="I28" s="30">
        <f>IF('TT MS'!B48="","Adwaith",'TT MS'!B48)</f>
        <v/>
      </c>
    </row>
    <row r="29">
      <c r="A29" s="6" t="inlineStr">
        <is>
          <t>Thu 15 Oct</t>
        </is>
      </c>
      <c r="B29" s="25" t="inlineStr">
        <is>
          <t>19:03</t>
        </is>
      </c>
      <c r="C29" s="6" t="inlineStr">
        <is>
          <t>19:21</t>
        </is>
      </c>
      <c r="D29" s="27" t="inlineStr">
        <is>
          <t>Carrom board</t>
        </is>
      </c>
      <c r="E29" s="27" t="inlineStr">
        <is>
          <t>Carroms Doubles</t>
        </is>
      </c>
      <c r="F29" s="6" t="inlineStr">
        <is>
          <t>Round 1</t>
        </is>
      </c>
      <c r="G29" s="29" t="inlineStr">
        <is>
          <t>CR-R1-03</t>
        </is>
      </c>
      <c r="H29" s="30">
        <f>IF('Carroms'!B19="","Gautham &amp; Don",'Carroms'!B19)</f>
        <v/>
      </c>
      <c r="I29" s="30">
        <f>IF('Carroms'!B20="","Nivya Mathew &amp; Bilal",'Carroms'!B20)</f>
        <v/>
      </c>
    </row>
    <row r="30">
      <c r="A30" s="6" t="inlineStr">
        <is>
          <t>Thu 15 Oct</t>
        </is>
      </c>
      <c r="B30" s="25" t="inlineStr">
        <is>
          <t>19:15</t>
        </is>
      </c>
      <c r="C30" s="6" t="inlineStr">
        <is>
          <t>19:27</t>
        </is>
      </c>
      <c r="D30" s="27" t="inlineStr">
        <is>
          <t>TT table</t>
        </is>
      </c>
      <c r="E30" s="27" t="inlineStr">
        <is>
          <t>TT Men's Singles</t>
        </is>
      </c>
      <c r="F30" s="6" t="inlineStr">
        <is>
          <t>Round 1</t>
        </is>
      </c>
      <c r="G30" s="29" t="inlineStr">
        <is>
          <t>TMS-R1-06</t>
        </is>
      </c>
      <c r="H30" s="30">
        <f>IF('TT MS'!B55="","Subin",'TT MS'!B55)</f>
        <v/>
      </c>
      <c r="I30" s="30">
        <f>IF('TT MS'!B56="","Rishikesh",'TT MS'!B56)</f>
        <v/>
      </c>
    </row>
    <row r="31">
      <c r="A31" s="6" t="inlineStr">
        <is>
          <t>Thu 15 Oct</t>
        </is>
      </c>
      <c r="B31" s="25" t="inlineStr">
        <is>
          <t>19:24</t>
        </is>
      </c>
      <c r="C31" s="6" t="inlineStr">
        <is>
          <t>19:42</t>
        </is>
      </c>
      <c r="D31" s="27" t="inlineStr">
        <is>
          <t>Carrom board</t>
        </is>
      </c>
      <c r="E31" s="27" t="inlineStr">
        <is>
          <t>Carroms Doubles</t>
        </is>
      </c>
      <c r="F31" s="6" t="inlineStr">
        <is>
          <t>Round 1</t>
        </is>
      </c>
      <c r="G31" s="29" t="inlineStr">
        <is>
          <t>CR-R1-04</t>
        </is>
      </c>
      <c r="H31" s="30">
        <f>IF('Carroms'!B23="","Sradha Santhosh &amp; Nidheesh P V",'Carroms'!B23)</f>
        <v/>
      </c>
      <c r="I31" s="30">
        <f>IF('Carroms'!B24="","Deekshith &amp; Akshay",'Carroms'!B24)</f>
        <v/>
      </c>
    </row>
    <row r="32">
      <c r="A32" s="6" t="inlineStr">
        <is>
          <t>Thu 15 Oct</t>
        </is>
      </c>
      <c r="B32" s="25" t="inlineStr">
        <is>
          <t>19:30</t>
        </is>
      </c>
      <c r="C32" s="6" t="inlineStr">
        <is>
          <t>19:45</t>
        </is>
      </c>
      <c r="D32" s="27" t="inlineStr">
        <is>
          <t>TT table</t>
        </is>
      </c>
      <c r="E32" s="27" t="inlineStr">
        <is>
          <t>TT Men's Doubles</t>
        </is>
      </c>
      <c r="F32" s="6" t="inlineStr">
        <is>
          <t>Round 1</t>
        </is>
      </c>
      <c r="G32" s="29" t="inlineStr">
        <is>
          <t>TMD-R1-01</t>
        </is>
      </c>
      <c r="H32" s="30">
        <f>IF('TT MD'!B7="","Ansam &amp; Musthaq",'TT MD'!B7)</f>
        <v/>
      </c>
      <c r="I32" s="30">
        <f>IF('TT MD'!B8="","Bonny &amp; Akshay",'TT MD'!B8)</f>
        <v/>
      </c>
    </row>
    <row r="33">
      <c r="A33" s="6" t="inlineStr">
        <is>
          <t>Thu 15 Oct</t>
        </is>
      </c>
      <c r="B33" s="25" t="inlineStr">
        <is>
          <t>19:48</t>
        </is>
      </c>
      <c r="C33" s="6" t="inlineStr">
        <is>
          <t>20:00</t>
        </is>
      </c>
      <c r="D33" s="27" t="inlineStr">
        <is>
          <t>TT table</t>
        </is>
      </c>
      <c r="E33" s="27" t="inlineStr">
        <is>
          <t>TT Men's Singles</t>
        </is>
      </c>
      <c r="F33" s="6" t="inlineStr">
        <is>
          <t>Round 2</t>
        </is>
      </c>
      <c r="G33" s="29" t="inlineStr">
        <is>
          <t>TMS-R2-01</t>
        </is>
      </c>
      <c r="H33" s="30">
        <f>IF('TT MS'!F9="","Sahil M I",'TT MS'!F9)</f>
        <v/>
      </c>
      <c r="I33" s="30">
        <f>IF('TT MS'!F10="","Winner TMS-R1-01",'TT MS'!F10)</f>
        <v/>
      </c>
    </row>
    <row r="34">
      <c r="A34" s="28" t="inlineStr">
        <is>
          <t>Friday 16 October   ·   20 matches</t>
        </is>
      </c>
    </row>
    <row r="35">
      <c r="A35" s="6" t="inlineStr">
        <is>
          <t>Fri 16 Oct</t>
        </is>
      </c>
      <c r="B35" s="25" t="inlineStr">
        <is>
          <t>18:00</t>
        </is>
      </c>
      <c r="C35" s="6" t="inlineStr">
        <is>
          <t>18:15</t>
        </is>
      </c>
      <c r="D35" s="27" t="inlineStr">
        <is>
          <t>TT table</t>
        </is>
      </c>
      <c r="E35" s="27" t="inlineStr">
        <is>
          <t>TT Men's Doubles</t>
        </is>
      </c>
      <c r="F35" s="6" t="inlineStr">
        <is>
          <t>Round 1</t>
        </is>
      </c>
      <c r="G35" s="29" t="inlineStr">
        <is>
          <t>TMD-R1-02</t>
        </is>
      </c>
      <c r="H35" s="30">
        <f>IF('TT MD'!B15="","Adwaith &amp; Alwin",'TT MD'!B15)</f>
        <v/>
      </c>
      <c r="I35" s="30">
        <f>IF('TT MD'!B16="","Rishikesh &amp; Amit",'TT MD'!B16)</f>
        <v/>
      </c>
    </row>
    <row r="36">
      <c r="A36" s="6" t="inlineStr">
        <is>
          <t>Fri 16 Oct</t>
        </is>
      </c>
      <c r="B36" s="25" t="inlineStr">
        <is>
          <t>18:00</t>
        </is>
      </c>
      <c r="C36" s="6" t="inlineStr">
        <is>
          <t>18:18</t>
        </is>
      </c>
      <c r="D36" s="27" t="inlineStr">
        <is>
          <t>Carrom board</t>
        </is>
      </c>
      <c r="E36" s="27" t="inlineStr">
        <is>
          <t>Carroms Doubles</t>
        </is>
      </c>
      <c r="F36" s="6" t="inlineStr">
        <is>
          <t>Round 1</t>
        </is>
      </c>
      <c r="G36" s="29" t="inlineStr">
        <is>
          <t>CR-R1-06</t>
        </is>
      </c>
      <c r="H36" s="30">
        <f>IF('Carroms'!B31="","Ansam &amp; Justin",'Carroms'!B31)</f>
        <v/>
      </c>
      <c r="I36" s="30">
        <f>IF('Carroms'!B32="","Gokul &amp; Anurag",'Carroms'!B32)</f>
        <v/>
      </c>
    </row>
    <row r="37">
      <c r="A37" s="6" t="inlineStr">
        <is>
          <t>Fri 16 Oct</t>
        </is>
      </c>
      <c r="B37" s="25" t="inlineStr">
        <is>
          <t>18:00</t>
        </is>
      </c>
      <c r="C37" s="6" t="inlineStr">
        <is>
          <t>18:25</t>
        </is>
      </c>
      <c r="D37" s="27" t="inlineStr">
        <is>
          <t>Chess (by phone)</t>
        </is>
      </c>
      <c r="E37" s="27" t="inlineStr">
        <is>
          <t>Chess</t>
        </is>
      </c>
      <c r="F37" s="6" t="inlineStr">
        <is>
          <t>Round 2</t>
        </is>
      </c>
      <c r="G37" s="29" t="inlineStr">
        <is>
          <t>CH-R2-01</t>
        </is>
      </c>
      <c r="H37" s="30">
        <f>IF('Chess'!F9="","Sainal",'Chess'!F9)</f>
        <v/>
      </c>
      <c r="I37" s="30">
        <f>IF('Chess'!F10="","Winner CH-R1-01",'Chess'!F10)</f>
        <v/>
      </c>
    </row>
    <row r="38">
      <c r="A38" s="6" t="inlineStr">
        <is>
          <t>Fri 16 Oct</t>
        </is>
      </c>
      <c r="B38" s="25" t="inlineStr">
        <is>
          <t>18:00</t>
        </is>
      </c>
      <c r="C38" s="6" t="inlineStr">
        <is>
          <t>18:25</t>
        </is>
      </c>
      <c r="D38" s="27" t="inlineStr">
        <is>
          <t>Chess (by phone)</t>
        </is>
      </c>
      <c r="E38" s="27" t="inlineStr">
        <is>
          <t>Chess</t>
        </is>
      </c>
      <c r="F38" s="6" t="inlineStr">
        <is>
          <t>Round 2</t>
        </is>
      </c>
      <c r="G38" s="29" t="inlineStr">
        <is>
          <t>CH-R2-02</t>
        </is>
      </c>
      <c r="H38" s="30">
        <f>IF('Chess'!F17="","Winner CH-R1-02",'Chess'!F17)</f>
        <v/>
      </c>
      <c r="I38" s="30">
        <f>IF('Chess'!F18="","Winner CH-R1-03",'Chess'!F18)</f>
        <v/>
      </c>
    </row>
    <row r="39">
      <c r="A39" s="6" t="inlineStr">
        <is>
          <t>Fri 16 Oct</t>
        </is>
      </c>
      <c r="B39" s="25" t="inlineStr">
        <is>
          <t>18:00</t>
        </is>
      </c>
      <c r="C39" s="6" t="inlineStr">
        <is>
          <t>18:25</t>
        </is>
      </c>
      <c r="D39" s="27" t="inlineStr">
        <is>
          <t>Chess (by phone)</t>
        </is>
      </c>
      <c r="E39" s="27" t="inlineStr">
        <is>
          <t>Chess</t>
        </is>
      </c>
      <c r="F39" s="6" t="inlineStr">
        <is>
          <t>Round 2</t>
        </is>
      </c>
      <c r="G39" s="29" t="inlineStr">
        <is>
          <t>CH-R2-03</t>
        </is>
      </c>
      <c r="H39" s="30">
        <f>IF('Chess'!F25="","Winner CH-R1-04",'Chess'!F25)</f>
        <v/>
      </c>
      <c r="I39" s="30">
        <f>IF('Chess'!F26="","Winner CH-R1-05",'Chess'!F26)</f>
        <v/>
      </c>
    </row>
    <row r="40">
      <c r="A40" s="6" t="inlineStr">
        <is>
          <t>Fri 16 Oct</t>
        </is>
      </c>
      <c r="B40" s="25" t="inlineStr">
        <is>
          <t>18:00</t>
        </is>
      </c>
      <c r="C40" s="6" t="inlineStr">
        <is>
          <t>18:25</t>
        </is>
      </c>
      <c r="D40" s="27" t="inlineStr">
        <is>
          <t>Chess (by phone)</t>
        </is>
      </c>
      <c r="E40" s="27" t="inlineStr">
        <is>
          <t>Chess</t>
        </is>
      </c>
      <c r="F40" s="6" t="inlineStr">
        <is>
          <t>Round 2</t>
        </is>
      </c>
      <c r="G40" s="29" t="inlineStr">
        <is>
          <t>CH-R2-04</t>
        </is>
      </c>
      <c r="H40" s="30">
        <f>IF('Chess'!F33="","Winner CH-R1-06",'Chess'!F33)</f>
        <v/>
      </c>
      <c r="I40" s="30">
        <f>IF('Chess'!F34="","Winner CH-R1-07",'Chess'!F34)</f>
        <v/>
      </c>
    </row>
    <row r="41">
      <c r="A41" s="6" t="inlineStr">
        <is>
          <t>Fri 16 Oct</t>
        </is>
      </c>
      <c r="B41" s="25" t="inlineStr">
        <is>
          <t>18:00</t>
        </is>
      </c>
      <c r="C41" s="6" t="inlineStr">
        <is>
          <t>18:25</t>
        </is>
      </c>
      <c r="D41" s="27" t="inlineStr">
        <is>
          <t>Chess (by phone)</t>
        </is>
      </c>
      <c r="E41" s="27" t="inlineStr">
        <is>
          <t>Chess</t>
        </is>
      </c>
      <c r="F41" s="6" t="inlineStr">
        <is>
          <t>Round 2</t>
        </is>
      </c>
      <c r="G41" s="29" t="inlineStr">
        <is>
          <t>CH-R2-05</t>
        </is>
      </c>
      <c r="H41" s="30">
        <f>IF('Chess'!F41="","Winner CH-R1-08",'Chess'!F41)</f>
        <v/>
      </c>
      <c r="I41" s="30">
        <f>IF('Chess'!F42="","Winner CH-R1-09",'Chess'!F42)</f>
        <v/>
      </c>
    </row>
    <row r="42">
      <c r="A42" s="6" t="inlineStr">
        <is>
          <t>Fri 16 Oct</t>
        </is>
      </c>
      <c r="B42" s="25" t="inlineStr">
        <is>
          <t>18:00</t>
        </is>
      </c>
      <c r="C42" s="6" t="inlineStr">
        <is>
          <t>18:25</t>
        </is>
      </c>
      <c r="D42" s="27" t="inlineStr">
        <is>
          <t>Chess (by phone)</t>
        </is>
      </c>
      <c r="E42" s="27" t="inlineStr">
        <is>
          <t>Chess</t>
        </is>
      </c>
      <c r="F42" s="6" t="inlineStr">
        <is>
          <t>Round 2</t>
        </is>
      </c>
      <c r="G42" s="29" t="inlineStr">
        <is>
          <t>CH-R2-07</t>
        </is>
      </c>
      <c r="H42" s="30">
        <f>IF('Chess'!F57="","Winner CH-R1-12",'Chess'!F57)</f>
        <v/>
      </c>
      <c r="I42" s="30">
        <f>IF('Chess'!F58="","Winner CH-R1-13",'Chess'!F58)</f>
        <v/>
      </c>
    </row>
    <row r="43">
      <c r="A43" s="6" t="inlineStr">
        <is>
          <t>Fri 16 Oct</t>
        </is>
      </c>
      <c r="B43" s="25" t="inlineStr">
        <is>
          <t>18:18</t>
        </is>
      </c>
      <c r="C43" s="6" t="inlineStr">
        <is>
          <t>18:30</t>
        </is>
      </c>
      <c r="D43" s="27" t="inlineStr">
        <is>
          <t>TT table</t>
        </is>
      </c>
      <c r="E43" s="27" t="inlineStr">
        <is>
          <t>TT Men's Singles</t>
        </is>
      </c>
      <c r="F43" s="6" t="inlineStr">
        <is>
          <t>Round 2</t>
        </is>
      </c>
      <c r="G43" s="29" t="inlineStr">
        <is>
          <t>TMS-R2-02</t>
        </is>
      </c>
      <c r="H43" s="30">
        <f>IF('TT MS'!F15="","Musthaq",'TT MS'!F15)</f>
        <v/>
      </c>
      <c r="I43" s="30">
        <f>IF('TT MS'!F16="","Prajith",'TT MS'!F16)</f>
        <v/>
      </c>
    </row>
    <row r="44">
      <c r="A44" s="6" t="inlineStr">
        <is>
          <t>Fri 16 Oct</t>
        </is>
      </c>
      <c r="B44" s="25" t="inlineStr">
        <is>
          <t>18:21</t>
        </is>
      </c>
      <c r="C44" s="6" t="inlineStr">
        <is>
          <t>18:39</t>
        </is>
      </c>
      <c r="D44" s="27" t="inlineStr">
        <is>
          <t>Carrom board</t>
        </is>
      </c>
      <c r="E44" s="27" t="inlineStr">
        <is>
          <t>Carroms Doubles</t>
        </is>
      </c>
      <c r="F44" s="6" t="inlineStr">
        <is>
          <t>Round 1</t>
        </is>
      </c>
      <c r="G44" s="29" t="inlineStr">
        <is>
          <t>CR-R1-10</t>
        </is>
      </c>
      <c r="H44" s="30">
        <f>IF('Carroms'!B47="","Akhila &amp; Athira",'Carroms'!B47)</f>
        <v/>
      </c>
      <c r="I44" s="30">
        <f>IF('Carroms'!B48="","Nivya Peter &amp; Nikitha",'Carroms'!B48)</f>
        <v/>
      </c>
    </row>
    <row r="45">
      <c r="A45" s="6" t="inlineStr">
        <is>
          <t>Fri 16 Oct</t>
        </is>
      </c>
      <c r="B45" s="25" t="inlineStr">
        <is>
          <t>18:28</t>
        </is>
      </c>
      <c r="C45" s="6" t="inlineStr">
        <is>
          <t>18:53</t>
        </is>
      </c>
      <c r="D45" s="27" t="inlineStr">
        <is>
          <t>Chess (by phone)</t>
        </is>
      </c>
      <c r="E45" s="27" t="inlineStr">
        <is>
          <t>Chess</t>
        </is>
      </c>
      <c r="F45" s="6" t="inlineStr">
        <is>
          <t>Round 2</t>
        </is>
      </c>
      <c r="G45" s="29" t="inlineStr">
        <is>
          <t>CH-R2-06</t>
        </is>
      </c>
      <c r="H45" s="30">
        <f>IF('Chess'!F49="","Winner CH-R1-10",'Chess'!F49)</f>
        <v/>
      </c>
      <c r="I45" s="30">
        <f>IF('Chess'!F50="","Winner CH-R1-11",'Chess'!F50)</f>
        <v/>
      </c>
    </row>
    <row r="46">
      <c r="A46" s="6" t="inlineStr">
        <is>
          <t>Fri 16 Oct</t>
        </is>
      </c>
      <c r="B46" s="25" t="inlineStr">
        <is>
          <t>18:28</t>
        </is>
      </c>
      <c r="C46" s="6" t="inlineStr">
        <is>
          <t>18:53</t>
        </is>
      </c>
      <c r="D46" s="27" t="inlineStr">
        <is>
          <t>Chess (by phone)</t>
        </is>
      </c>
      <c r="E46" s="27" t="inlineStr">
        <is>
          <t>Chess</t>
        </is>
      </c>
      <c r="F46" s="6" t="inlineStr">
        <is>
          <t>Round 2</t>
        </is>
      </c>
      <c r="G46" s="29" t="inlineStr">
        <is>
          <t>CH-R2-08</t>
        </is>
      </c>
      <c r="H46" s="30">
        <f>IF('Chess'!F65="","Winner CH-R1-14",'Chess'!F65)</f>
        <v/>
      </c>
      <c r="I46" s="30">
        <f>IF('Chess'!F66="","Winner CH-R1-15",'Chess'!F66)</f>
        <v/>
      </c>
    </row>
    <row r="47">
      <c r="A47" s="6" t="inlineStr">
        <is>
          <t>Fri 16 Oct</t>
        </is>
      </c>
      <c r="B47" s="25" t="inlineStr">
        <is>
          <t>18:33</t>
        </is>
      </c>
      <c r="C47" s="6" t="inlineStr">
        <is>
          <t>18:45</t>
        </is>
      </c>
      <c r="D47" s="27" t="inlineStr">
        <is>
          <t>TT table</t>
        </is>
      </c>
      <c r="E47" s="27" t="inlineStr">
        <is>
          <t>TT Men's Singles</t>
        </is>
      </c>
      <c r="F47" s="6" t="inlineStr">
        <is>
          <t>Round 2</t>
        </is>
      </c>
      <c r="G47" s="29" t="inlineStr">
        <is>
          <t>TMS-R2-05</t>
        </is>
      </c>
      <c r="H47" s="30">
        <f>IF('TT MS'!F37="","Thomas",'TT MS'!F37)</f>
        <v/>
      </c>
      <c r="I47" s="30">
        <f>IF('TT MS'!F38="","Winner TMS-R1-04",'TT MS'!F38)</f>
        <v/>
      </c>
    </row>
    <row r="48">
      <c r="A48" s="6" t="inlineStr">
        <is>
          <t>Fri 16 Oct</t>
        </is>
      </c>
      <c r="B48" s="25" t="inlineStr">
        <is>
          <t>18:42</t>
        </is>
      </c>
      <c r="C48" s="6" t="inlineStr">
        <is>
          <t>19:00</t>
        </is>
      </c>
      <c r="D48" s="27" t="inlineStr">
        <is>
          <t>Carrom board</t>
        </is>
      </c>
      <c r="E48" s="27" t="inlineStr">
        <is>
          <t>Carroms Doubles</t>
        </is>
      </c>
      <c r="F48" s="6" t="inlineStr">
        <is>
          <t>Round 1</t>
        </is>
      </c>
      <c r="G48" s="29" t="inlineStr">
        <is>
          <t>CR-R1-07</t>
        </is>
      </c>
      <c r="H48" s="30">
        <f>IF('Carroms'!B35="","Akshay &amp; Gouresh",'Carroms'!B35)</f>
        <v/>
      </c>
      <c r="I48" s="30">
        <f>IF('Carroms'!B36="","Sharan &amp; Musthaq",'Carroms'!B36)</f>
        <v/>
      </c>
    </row>
    <row r="49">
      <c r="A49" s="6" t="inlineStr">
        <is>
          <t>Fri 16 Oct</t>
        </is>
      </c>
      <c r="B49" s="25" t="inlineStr">
        <is>
          <t>18:48</t>
        </is>
      </c>
      <c r="C49" s="6" t="inlineStr">
        <is>
          <t>19:03</t>
        </is>
      </c>
      <c r="D49" s="27" t="inlineStr">
        <is>
          <t>TT table</t>
        </is>
      </c>
      <c r="E49" s="27" t="inlineStr">
        <is>
          <t>TT Men's Doubles</t>
        </is>
      </c>
      <c r="F49" s="6" t="inlineStr">
        <is>
          <t>Round 1</t>
        </is>
      </c>
      <c r="G49" s="29" t="inlineStr">
        <is>
          <t>TMD-R1-03</t>
        </is>
      </c>
      <c r="H49" s="30">
        <f>IF('TT MD'!B19="","Subin &amp; Sahil M I",'TT MD'!B19)</f>
        <v/>
      </c>
      <c r="I49" s="30">
        <f>IF('TT MD'!B20="","Nidheesh P V &amp; Abhishek P S",'TT MD'!B20)</f>
        <v/>
      </c>
    </row>
    <row r="50">
      <c r="A50" s="6" t="inlineStr">
        <is>
          <t>Fri 16 Oct</t>
        </is>
      </c>
      <c r="B50" s="25" t="inlineStr">
        <is>
          <t>19:03</t>
        </is>
      </c>
      <c r="C50" s="6" t="inlineStr">
        <is>
          <t>19:21</t>
        </is>
      </c>
      <c r="D50" s="27" t="inlineStr">
        <is>
          <t>Carrom board</t>
        </is>
      </c>
      <c r="E50" s="27" t="inlineStr">
        <is>
          <t>Carroms Doubles</t>
        </is>
      </c>
      <c r="F50" s="6" t="inlineStr">
        <is>
          <t>Round 1</t>
        </is>
      </c>
      <c r="G50" s="29" t="inlineStr">
        <is>
          <t>CR-R1-09</t>
        </is>
      </c>
      <c r="H50" s="30">
        <f>IF('Carroms'!B43="","Rajeesh C V &amp; Ibrahim",'Carroms'!B43)</f>
        <v/>
      </c>
      <c r="I50" s="30">
        <f>IF('Carroms'!B44="","Alwin &amp; Nived",'Carroms'!B44)</f>
        <v/>
      </c>
    </row>
    <row r="51">
      <c r="A51" s="6" t="inlineStr">
        <is>
          <t>Fri 16 Oct</t>
        </is>
      </c>
      <c r="B51" s="25" t="inlineStr">
        <is>
          <t>19:06</t>
        </is>
      </c>
      <c r="C51" s="6" t="inlineStr">
        <is>
          <t>19:18</t>
        </is>
      </c>
      <c r="D51" s="27" t="inlineStr">
        <is>
          <t>TT table</t>
        </is>
      </c>
      <c r="E51" s="27" t="inlineStr">
        <is>
          <t>TT Men's Singles</t>
        </is>
      </c>
      <c r="F51" s="6" t="inlineStr">
        <is>
          <t>Round 2</t>
        </is>
      </c>
      <c r="G51" s="29" t="inlineStr">
        <is>
          <t>TMS-R2-06</t>
        </is>
      </c>
      <c r="H51" s="30">
        <f>IF('TT MS'!F43="","Vidhu",'TT MS'!F43)</f>
        <v/>
      </c>
      <c r="I51" s="30">
        <f>IF('TT MS'!F44="","Suryathejas",'TT MS'!F44)</f>
        <v/>
      </c>
    </row>
    <row r="52">
      <c r="A52" s="6" t="inlineStr">
        <is>
          <t>Fri 16 Oct</t>
        </is>
      </c>
      <c r="B52" s="25" t="inlineStr">
        <is>
          <t>19:21</t>
        </is>
      </c>
      <c r="C52" s="6" t="inlineStr">
        <is>
          <t>19:33</t>
        </is>
      </c>
      <c r="D52" s="27" t="inlineStr">
        <is>
          <t>TT table</t>
        </is>
      </c>
      <c r="E52" s="27" t="inlineStr">
        <is>
          <t>TT Men's Singles</t>
        </is>
      </c>
      <c r="F52" s="6" t="inlineStr">
        <is>
          <t>Round 2</t>
        </is>
      </c>
      <c r="G52" s="29" t="inlineStr">
        <is>
          <t>TMS-R2-04</t>
        </is>
      </c>
      <c r="H52" s="30">
        <f>IF('TT MS'!F29="","Nidheesh P V",'TT MS'!F29)</f>
        <v/>
      </c>
      <c r="I52" s="30">
        <f>IF('TT MS'!F30="","Winner TMS-R1-03",'TT MS'!F30)</f>
        <v/>
      </c>
    </row>
    <row r="53">
      <c r="A53" s="6" t="inlineStr">
        <is>
          <t>Fri 16 Oct</t>
        </is>
      </c>
      <c r="B53" s="25" t="inlineStr">
        <is>
          <t>19:24</t>
        </is>
      </c>
      <c r="C53" s="6" t="inlineStr">
        <is>
          <t>19:42</t>
        </is>
      </c>
      <c r="D53" s="27" t="inlineStr">
        <is>
          <t>Carrom board</t>
        </is>
      </c>
      <c r="E53" s="27" t="inlineStr">
        <is>
          <t>Carroms Doubles</t>
        </is>
      </c>
      <c r="F53" s="6" t="inlineStr">
        <is>
          <t>Round 1</t>
        </is>
      </c>
      <c r="G53" s="29" t="inlineStr">
        <is>
          <t>CR-R1-08</t>
        </is>
      </c>
      <c r="H53" s="30">
        <f>IF('Carroms'!B39="","Aparna &amp; Sahil M I",'Carroms'!B39)</f>
        <v/>
      </c>
      <c r="I53" s="30">
        <f>IF('Carroms'!B40="","Sharon &amp; Amit",'Carroms'!B40)</f>
        <v/>
      </c>
    </row>
    <row r="54">
      <c r="A54" s="6" t="inlineStr">
        <is>
          <t>Fri 16 Oct</t>
        </is>
      </c>
      <c r="B54" s="25" t="inlineStr">
        <is>
          <t>19:36</t>
        </is>
      </c>
      <c r="C54" s="6" t="inlineStr">
        <is>
          <t>19:51</t>
        </is>
      </c>
      <c r="D54" s="27" t="inlineStr">
        <is>
          <t>TT table</t>
        </is>
      </c>
      <c r="E54" s="27" t="inlineStr">
        <is>
          <t>TT Men's Doubles</t>
        </is>
      </c>
      <c r="F54" s="6" t="inlineStr">
        <is>
          <t>Round 1</t>
        </is>
      </c>
      <c r="G54" s="29" t="inlineStr">
        <is>
          <t>TMD-R1-05</t>
        </is>
      </c>
      <c r="H54" s="30">
        <f>IF('TT MD'!B31="","Rajeesh C V &amp; Suryathejas",'TT MD'!B31)</f>
        <v/>
      </c>
      <c r="I54" s="30">
        <f>IF('TT MD'!B32="","Anandhakrishnan &amp; Christo",'TT MD'!B32)</f>
        <v/>
      </c>
    </row>
    <row r="55">
      <c r="A55" s="28" t="inlineStr">
        <is>
          <t>Monday 19 October   ·   16 matches</t>
        </is>
      </c>
    </row>
    <row r="56">
      <c r="A56" s="6" t="inlineStr">
        <is>
          <t>Mon 19 Oct</t>
        </is>
      </c>
      <c r="B56" s="25" t="inlineStr">
        <is>
          <t>18:00</t>
        </is>
      </c>
      <c r="C56" s="6" t="inlineStr">
        <is>
          <t>18:15</t>
        </is>
      </c>
      <c r="D56" s="27" t="inlineStr">
        <is>
          <t>TT table</t>
        </is>
      </c>
      <c r="E56" s="27" t="inlineStr">
        <is>
          <t>TT Men's Doubles</t>
        </is>
      </c>
      <c r="F56" s="6" t="inlineStr">
        <is>
          <t>Round 1</t>
        </is>
      </c>
      <c r="G56" s="29" t="inlineStr">
        <is>
          <t>TMD-R1-04</t>
        </is>
      </c>
      <c r="H56" s="30">
        <f>IF('TT MD'!B23="","Prajith &amp; Nived",'TT MD'!B23)</f>
        <v/>
      </c>
      <c r="I56" s="30">
        <f>IF('TT MD'!B24="","Joyel &amp; Vidhu",'TT MD'!B24)</f>
        <v/>
      </c>
    </row>
    <row r="57">
      <c r="A57" s="6" t="inlineStr">
        <is>
          <t>Mon 19 Oct</t>
        </is>
      </c>
      <c r="B57" s="25" t="inlineStr">
        <is>
          <t>18:00</t>
        </is>
      </c>
      <c r="C57" s="6" t="inlineStr">
        <is>
          <t>18:18</t>
        </is>
      </c>
      <c r="D57" s="27" t="inlineStr">
        <is>
          <t>Carrom board</t>
        </is>
      </c>
      <c r="E57" s="27" t="inlineStr">
        <is>
          <t>Carroms Doubles</t>
        </is>
      </c>
      <c r="F57" s="6" t="inlineStr">
        <is>
          <t>Round 1</t>
        </is>
      </c>
      <c r="G57" s="29" t="inlineStr">
        <is>
          <t>CR-R1-11</t>
        </is>
      </c>
      <c r="H57" s="30">
        <f>IF('Carroms'!B51="","Samin &amp; Nikhil",'Carroms'!B51)</f>
        <v/>
      </c>
      <c r="I57" s="30">
        <f>IF('Carroms'!B52="","Tressy &amp; Shijil",'Carroms'!B52)</f>
        <v/>
      </c>
    </row>
    <row r="58">
      <c r="A58" s="6" t="inlineStr">
        <is>
          <t>Mon 19 Oct</t>
        </is>
      </c>
      <c r="B58" s="25" t="inlineStr">
        <is>
          <t>18:00</t>
        </is>
      </c>
      <c r="C58" s="6" t="inlineStr">
        <is>
          <t>18:25</t>
        </is>
      </c>
      <c r="D58" s="27" t="inlineStr">
        <is>
          <t>Chess (by phone)</t>
        </is>
      </c>
      <c r="E58" s="27" t="inlineStr">
        <is>
          <t>Chess</t>
        </is>
      </c>
      <c r="F58" s="6" t="inlineStr">
        <is>
          <t>Quarter-final</t>
        </is>
      </c>
      <c r="G58" s="29" t="inlineStr">
        <is>
          <t>CH-R3-03</t>
        </is>
      </c>
      <c r="H58" s="30">
        <f>IF('Chess'!J45="","Winner CH-R2-05",'Chess'!J45)</f>
        <v/>
      </c>
      <c r="I58" s="30">
        <f>IF('Chess'!J46="","Winner CH-R2-06",'Chess'!J46)</f>
        <v/>
      </c>
    </row>
    <row r="59">
      <c r="A59" s="6" t="inlineStr">
        <is>
          <t>Mon 19 Oct</t>
        </is>
      </c>
      <c r="B59" s="25" t="inlineStr">
        <is>
          <t>18:00</t>
        </is>
      </c>
      <c r="C59" s="6" t="inlineStr">
        <is>
          <t>18:25</t>
        </is>
      </c>
      <c r="D59" s="27" t="inlineStr">
        <is>
          <t>Chess (by phone)</t>
        </is>
      </c>
      <c r="E59" s="27" t="inlineStr">
        <is>
          <t>Chess</t>
        </is>
      </c>
      <c r="F59" s="6" t="inlineStr">
        <is>
          <t>Quarter-final</t>
        </is>
      </c>
      <c r="G59" s="29" t="inlineStr">
        <is>
          <t>CH-R3-04</t>
        </is>
      </c>
      <c r="H59" s="30">
        <f>IF('Chess'!J61="","Winner CH-R2-07",'Chess'!J61)</f>
        <v/>
      </c>
      <c r="I59" s="30">
        <f>IF('Chess'!J62="","Winner CH-R2-08",'Chess'!J62)</f>
        <v/>
      </c>
    </row>
    <row r="60">
      <c r="A60" s="6" t="inlineStr">
        <is>
          <t>Mon 19 Oct</t>
        </is>
      </c>
      <c r="B60" s="25" t="inlineStr">
        <is>
          <t>18:18</t>
        </is>
      </c>
      <c r="C60" s="6" t="inlineStr">
        <is>
          <t>18:30</t>
        </is>
      </c>
      <c r="D60" s="27" t="inlineStr">
        <is>
          <t>TT table</t>
        </is>
      </c>
      <c r="E60" s="27" t="inlineStr">
        <is>
          <t>TT Men's Singles</t>
        </is>
      </c>
      <c r="F60" s="6" t="inlineStr">
        <is>
          <t>Round 2</t>
        </is>
      </c>
      <c r="G60" s="29" t="inlineStr">
        <is>
          <t>TMS-R2-08</t>
        </is>
      </c>
      <c r="H60" s="30">
        <f>IF('TT MS'!F57="","Alwin",'TT MS'!F57)</f>
        <v/>
      </c>
      <c r="I60" s="30">
        <f>IF('TT MS'!F58="","Winner TMS-R1-06",'TT MS'!F58)</f>
        <v/>
      </c>
    </row>
    <row r="61">
      <c r="A61" s="6" t="inlineStr">
        <is>
          <t>Mon 19 Oct</t>
        </is>
      </c>
      <c r="B61" s="25" t="inlineStr">
        <is>
          <t>18:21</t>
        </is>
      </c>
      <c r="C61" s="6" t="inlineStr">
        <is>
          <t>18:39</t>
        </is>
      </c>
      <c r="D61" s="27" t="inlineStr">
        <is>
          <t>Carrom board</t>
        </is>
      </c>
      <c r="E61" s="27" t="inlineStr">
        <is>
          <t>Carroms Doubles</t>
        </is>
      </c>
      <c r="F61" s="6" t="inlineStr">
        <is>
          <t>Round 1</t>
        </is>
      </c>
      <c r="G61" s="29" t="inlineStr">
        <is>
          <t>CR-R1-14</t>
        </is>
      </c>
      <c r="H61" s="30">
        <f>IF('Carroms'!B63="","Abhishek P S &amp; Vidhya M Robert",'Carroms'!B63)</f>
        <v/>
      </c>
      <c r="I61" s="30">
        <f>IF('Carroms'!B64="","Niju &amp; Christo",'Carroms'!B64)</f>
        <v/>
      </c>
    </row>
    <row r="62">
      <c r="A62" s="6" t="inlineStr">
        <is>
          <t>Mon 19 Oct</t>
        </is>
      </c>
      <c r="B62" s="25" t="inlineStr">
        <is>
          <t>18:25</t>
        </is>
      </c>
      <c r="C62" s="6" t="inlineStr">
        <is>
          <t>18:50</t>
        </is>
      </c>
      <c r="D62" s="27" t="inlineStr">
        <is>
          <t>Chess (by phone)</t>
        </is>
      </c>
      <c r="E62" s="27" t="inlineStr">
        <is>
          <t>Chess</t>
        </is>
      </c>
      <c r="F62" s="6" t="inlineStr">
        <is>
          <t>Quarter-final</t>
        </is>
      </c>
      <c r="G62" s="29" t="inlineStr">
        <is>
          <t>CH-R3-02</t>
        </is>
      </c>
      <c r="H62" s="30">
        <f>IF('Chess'!J29="","Winner CH-R2-03",'Chess'!J29)</f>
        <v/>
      </c>
      <c r="I62" s="30">
        <f>IF('Chess'!J30="","Winner CH-R2-04",'Chess'!J30)</f>
        <v/>
      </c>
    </row>
    <row r="63">
      <c r="A63" s="6" t="inlineStr">
        <is>
          <t>Mon 19 Oct</t>
        </is>
      </c>
      <c r="B63" s="25" t="inlineStr">
        <is>
          <t>18:28</t>
        </is>
      </c>
      <c r="C63" s="6" t="inlineStr">
        <is>
          <t>18:53</t>
        </is>
      </c>
      <c r="D63" s="27" t="inlineStr">
        <is>
          <t>Chess (by phone)</t>
        </is>
      </c>
      <c r="E63" s="27" t="inlineStr">
        <is>
          <t>Chess</t>
        </is>
      </c>
      <c r="F63" s="6" t="inlineStr">
        <is>
          <t>Quarter-final</t>
        </is>
      </c>
      <c r="G63" s="29" t="inlineStr">
        <is>
          <t>CH-R3-01</t>
        </is>
      </c>
      <c r="H63" s="30">
        <f>IF('Chess'!J13="","Winner CH-R2-01",'Chess'!J13)</f>
        <v/>
      </c>
      <c r="I63" s="30">
        <f>IF('Chess'!J14="","Winner CH-R2-02",'Chess'!J14)</f>
        <v/>
      </c>
    </row>
    <row r="64">
      <c r="A64" s="6" t="inlineStr">
        <is>
          <t>Mon 19 Oct</t>
        </is>
      </c>
      <c r="B64" s="25" t="inlineStr">
        <is>
          <t>18:33</t>
        </is>
      </c>
      <c r="C64" s="6" t="inlineStr">
        <is>
          <t>18:45</t>
        </is>
      </c>
      <c r="D64" s="27" t="inlineStr">
        <is>
          <t>TT table</t>
        </is>
      </c>
      <c r="E64" s="27" t="inlineStr">
        <is>
          <t>TT Men's Singles</t>
        </is>
      </c>
      <c r="F64" s="6" t="inlineStr">
        <is>
          <t>Quarter-final</t>
        </is>
      </c>
      <c r="G64" s="29" t="inlineStr">
        <is>
          <t>TMS-R3-01</t>
        </is>
      </c>
      <c r="H64" s="30">
        <f>IF('TT MS'!J12="","Winner TMS-R2-01",'TT MS'!J12)</f>
        <v/>
      </c>
      <c r="I64" s="30">
        <f>IF('TT MS'!J13="","Winner TMS-R2-02",'TT MS'!J13)</f>
        <v/>
      </c>
    </row>
    <row r="65">
      <c r="A65" s="6" t="inlineStr">
        <is>
          <t>Mon 19 Oct</t>
        </is>
      </c>
      <c r="B65" s="25" t="inlineStr">
        <is>
          <t>18:42</t>
        </is>
      </c>
      <c r="C65" s="6" t="inlineStr">
        <is>
          <t>19:00</t>
        </is>
      </c>
      <c r="D65" s="27" t="inlineStr">
        <is>
          <t>Carrom board</t>
        </is>
      </c>
      <c r="E65" s="27" t="inlineStr">
        <is>
          <t>Carroms Doubles</t>
        </is>
      </c>
      <c r="F65" s="6" t="inlineStr">
        <is>
          <t>Round 1</t>
        </is>
      </c>
      <c r="G65" s="29" t="inlineStr">
        <is>
          <t>CR-R1-12</t>
        </is>
      </c>
      <c r="H65" s="30">
        <f>IF('Carroms'!B55="","Abhijith K V &amp; Divin",'Carroms'!B55)</f>
        <v/>
      </c>
      <c r="I65" s="30">
        <f>IF('Carroms'!B56="","Nandana &amp; Sona",'Carroms'!B56)</f>
        <v/>
      </c>
    </row>
    <row r="66">
      <c r="A66" s="6" t="inlineStr">
        <is>
          <t>Mon 19 Oct</t>
        </is>
      </c>
      <c r="B66" s="25" t="inlineStr">
        <is>
          <t>18:48</t>
        </is>
      </c>
      <c r="C66" s="6" t="inlineStr">
        <is>
          <t>19:00</t>
        </is>
      </c>
      <c r="D66" s="27" t="inlineStr">
        <is>
          <t>TT table</t>
        </is>
      </c>
      <c r="E66" s="27" t="inlineStr">
        <is>
          <t>TT Men's Singles</t>
        </is>
      </c>
      <c r="F66" s="6" t="inlineStr">
        <is>
          <t>Round 2</t>
        </is>
      </c>
      <c r="G66" s="29" t="inlineStr">
        <is>
          <t>TMS-R2-07</t>
        </is>
      </c>
      <c r="H66" s="30">
        <f>IF('TT MS'!F49="","Ray",'TT MS'!F49)</f>
        <v/>
      </c>
      <c r="I66" s="30">
        <f>IF('TT MS'!F50="","Winner TMS-R1-05",'TT MS'!F50)</f>
        <v/>
      </c>
    </row>
    <row r="67">
      <c r="A67" s="6" t="inlineStr">
        <is>
          <t>Mon 19 Oct</t>
        </is>
      </c>
      <c r="B67" s="25" t="inlineStr">
        <is>
          <t>19:03</t>
        </is>
      </c>
      <c r="C67" s="6" t="inlineStr">
        <is>
          <t>19:15</t>
        </is>
      </c>
      <c r="D67" s="27" t="inlineStr">
        <is>
          <t>TT table</t>
        </is>
      </c>
      <c r="E67" s="27" t="inlineStr">
        <is>
          <t>TT Men's Singles</t>
        </is>
      </c>
      <c r="F67" s="6" t="inlineStr">
        <is>
          <t>Round 2</t>
        </is>
      </c>
      <c r="G67" s="29" t="inlineStr">
        <is>
          <t>TMS-R2-03</t>
        </is>
      </c>
      <c r="H67" s="30">
        <f>IF('TT MS'!F21="","Amit",'TT MS'!F21)</f>
        <v/>
      </c>
      <c r="I67" s="30">
        <f>IF('TT MS'!F22="","Winner TMS-R1-02",'TT MS'!F22)</f>
        <v/>
      </c>
    </row>
    <row r="68">
      <c r="A68" s="6" t="inlineStr">
        <is>
          <t>Mon 19 Oct</t>
        </is>
      </c>
      <c r="B68" s="25" t="inlineStr">
        <is>
          <t>19:03</t>
        </is>
      </c>
      <c r="C68" s="6" t="inlineStr">
        <is>
          <t>19:21</t>
        </is>
      </c>
      <c r="D68" s="27" t="inlineStr">
        <is>
          <t>Carrom board</t>
        </is>
      </c>
      <c r="E68" s="27" t="inlineStr">
        <is>
          <t>Carroms Doubles</t>
        </is>
      </c>
      <c r="F68" s="6" t="inlineStr">
        <is>
          <t>Round 1</t>
        </is>
      </c>
      <c r="G68" s="29" t="inlineStr">
        <is>
          <t>CR-R1-15</t>
        </is>
      </c>
      <c r="H68" s="30">
        <f>IF('Carroms'!B67="","Jithu &amp; Bilsy",'Carroms'!B67)</f>
        <v/>
      </c>
      <c r="I68" s="30">
        <f>IF('Carroms'!B68="","Deepanjali &amp; Anjana",'Carroms'!B68)</f>
        <v/>
      </c>
    </row>
    <row r="69">
      <c r="A69" s="6" t="inlineStr">
        <is>
          <t>Mon 19 Oct</t>
        </is>
      </c>
      <c r="B69" s="25" t="inlineStr">
        <is>
          <t>19:18</t>
        </is>
      </c>
      <c r="C69" s="6" t="inlineStr">
        <is>
          <t>19:33</t>
        </is>
      </c>
      <c r="D69" s="27" t="inlineStr">
        <is>
          <t>TT table</t>
        </is>
      </c>
      <c r="E69" s="27" t="inlineStr">
        <is>
          <t>TT Men's Doubles</t>
        </is>
      </c>
      <c r="F69" s="6" t="inlineStr">
        <is>
          <t>Quarter-final</t>
        </is>
      </c>
      <c r="G69" s="29" t="inlineStr">
        <is>
          <t>TMD-R2-01</t>
        </is>
      </c>
      <c r="H69" s="30">
        <f>IF('TT MD'!F9="","Thomas &amp; Ray",'TT MD'!F9)</f>
        <v/>
      </c>
      <c r="I69" s="30">
        <f>IF('TT MD'!F10="","Winner TMD-R1-01",'TT MD'!F10)</f>
        <v/>
      </c>
    </row>
    <row r="70">
      <c r="A70" s="6" t="inlineStr">
        <is>
          <t>Mon 19 Oct</t>
        </is>
      </c>
      <c r="B70" s="25" t="inlineStr">
        <is>
          <t>19:24</t>
        </is>
      </c>
      <c r="C70" s="6" t="inlineStr">
        <is>
          <t>19:42</t>
        </is>
      </c>
      <c r="D70" s="27" t="inlineStr">
        <is>
          <t>Carrom board</t>
        </is>
      </c>
      <c r="E70" s="27" t="inlineStr">
        <is>
          <t>Carroms Doubles</t>
        </is>
      </c>
      <c r="F70" s="6" t="inlineStr">
        <is>
          <t>Round 2</t>
        </is>
      </c>
      <c r="G70" s="29" t="inlineStr">
        <is>
          <t>CR-R2-01</t>
        </is>
      </c>
      <c r="H70" s="30">
        <f>IF('Carroms'!F9="","Anan &amp; Avani",'Carroms'!F9)</f>
        <v/>
      </c>
      <c r="I70" s="30">
        <f>IF('Carroms'!F10="","Winner CR-R1-01",'Carroms'!F10)</f>
        <v/>
      </c>
    </row>
    <row r="71">
      <c r="A71" s="6" t="inlineStr">
        <is>
          <t>Mon 19 Oct</t>
        </is>
      </c>
      <c r="B71" s="25" t="inlineStr">
        <is>
          <t>19:36</t>
        </is>
      </c>
      <c r="C71" s="6" t="inlineStr">
        <is>
          <t>19:51</t>
        </is>
      </c>
      <c r="D71" s="27" t="inlineStr">
        <is>
          <t>TT table</t>
        </is>
      </c>
      <c r="E71" s="27" t="inlineStr">
        <is>
          <t>TT Men's Doubles</t>
        </is>
      </c>
      <c r="F71" s="6" t="inlineStr">
        <is>
          <t>Quarter-final</t>
        </is>
      </c>
      <c r="G71" s="29" t="inlineStr">
        <is>
          <t>TMD-R2-02</t>
        </is>
      </c>
      <c r="H71" s="30">
        <f>IF('TT MD'!F17="","Winner TMD-R1-02",'TT MD'!F17)</f>
        <v/>
      </c>
      <c r="I71" s="30">
        <f>IF('TT MD'!F18="","Winner TMD-R1-03",'TT MD'!F18)</f>
        <v/>
      </c>
    </row>
    <row r="72">
      <c r="A72" s="31" t="inlineStr">
        <is>
          <t>Tuesday 20 October  —  Mahanavami (no games)</t>
        </is>
      </c>
    </row>
    <row r="73">
      <c r="A73" s="28" t="inlineStr">
        <is>
          <t>Wednesday 21 October   ·   13 matches</t>
        </is>
      </c>
    </row>
    <row r="74">
      <c r="A74" s="6" t="inlineStr">
        <is>
          <t>Wed 21 Oct</t>
        </is>
      </c>
      <c r="B74" s="25" t="inlineStr">
        <is>
          <t>18:00</t>
        </is>
      </c>
      <c r="C74" s="6" t="inlineStr">
        <is>
          <t>18:15</t>
        </is>
      </c>
      <c r="D74" s="27" t="inlineStr">
        <is>
          <t>TT table</t>
        </is>
      </c>
      <c r="E74" s="27" t="inlineStr">
        <is>
          <t>TT Men's Doubles</t>
        </is>
      </c>
      <c r="F74" s="6" t="inlineStr">
        <is>
          <t>Quarter-final</t>
        </is>
      </c>
      <c r="G74" s="29" t="inlineStr">
        <is>
          <t>TMD-R2-03</t>
        </is>
      </c>
      <c r="H74" s="30">
        <f>IF('TT MD'!F25="","Bilal &amp; Deekshith",'TT MD'!F25)</f>
        <v/>
      </c>
      <c r="I74" s="30">
        <f>IF('TT MD'!F26="","Winner TMD-R1-04",'TT MD'!F26)</f>
        <v/>
      </c>
    </row>
    <row r="75">
      <c r="A75" s="6" t="inlineStr">
        <is>
          <t>Wed 21 Oct</t>
        </is>
      </c>
      <c r="B75" s="25" t="inlineStr">
        <is>
          <t>18:00</t>
        </is>
      </c>
      <c r="C75" s="6" t="inlineStr">
        <is>
          <t>18:18</t>
        </is>
      </c>
      <c r="D75" s="27" t="inlineStr">
        <is>
          <t>Carrom board</t>
        </is>
      </c>
      <c r="E75" s="27" t="inlineStr">
        <is>
          <t>Carroms Doubles</t>
        </is>
      </c>
      <c r="F75" s="6" t="inlineStr">
        <is>
          <t>Round 1</t>
        </is>
      </c>
      <c r="G75" s="29" t="inlineStr">
        <is>
          <t>CR-R1-13</t>
        </is>
      </c>
      <c r="H75" s="30">
        <f>IF('Carroms'!B59="","Ray &amp; Boban",'Carroms'!B59)</f>
        <v/>
      </c>
      <c r="I75" s="30">
        <f>IF('Carroms'!B60="","Hrishikesh &amp; Jayakrishnan",'Carroms'!B60)</f>
        <v/>
      </c>
    </row>
    <row r="76">
      <c r="A76" s="6" t="inlineStr">
        <is>
          <t>Wed 21 Oct</t>
        </is>
      </c>
      <c r="B76" s="25" t="inlineStr">
        <is>
          <t>18:18</t>
        </is>
      </c>
      <c r="C76" s="6" t="inlineStr">
        <is>
          <t>18:33</t>
        </is>
      </c>
      <c r="D76" s="27" t="inlineStr">
        <is>
          <t>TT table</t>
        </is>
      </c>
      <c r="E76" s="27" t="inlineStr">
        <is>
          <t>TT Men's Doubles</t>
        </is>
      </c>
      <c r="F76" s="6" t="inlineStr">
        <is>
          <t>Quarter-final</t>
        </is>
      </c>
      <c r="G76" s="29" t="inlineStr">
        <is>
          <t>TMD-R2-04</t>
        </is>
      </c>
      <c r="H76" s="30">
        <f>IF('TT MD'!F33="","Rithik &amp; Prathyush",'TT MD'!F33)</f>
        <v/>
      </c>
      <c r="I76" s="30">
        <f>IF('TT MD'!F34="","Winner TMD-R1-05",'TT MD'!F34)</f>
        <v/>
      </c>
    </row>
    <row r="77">
      <c r="A77" s="6" t="inlineStr">
        <is>
          <t>Wed 21 Oct</t>
        </is>
      </c>
      <c r="B77" s="25" t="inlineStr">
        <is>
          <t>18:21</t>
        </is>
      </c>
      <c r="C77" s="6" t="inlineStr">
        <is>
          <t>18:39</t>
        </is>
      </c>
      <c r="D77" s="27" t="inlineStr">
        <is>
          <t>Carrom board</t>
        </is>
      </c>
      <c r="E77" s="27" t="inlineStr">
        <is>
          <t>Carroms Doubles</t>
        </is>
      </c>
      <c r="F77" s="6" t="inlineStr">
        <is>
          <t>Round 2</t>
        </is>
      </c>
      <c r="G77" s="29" t="inlineStr">
        <is>
          <t>CR-R2-04</t>
        </is>
      </c>
      <c r="H77" s="30">
        <f>IF('Carroms'!F33="","Winner CR-R1-06",'Carroms'!F33)</f>
        <v/>
      </c>
      <c r="I77" s="30">
        <f>IF('Carroms'!F34="","Winner CR-R1-07",'Carroms'!F34)</f>
        <v/>
      </c>
    </row>
    <row r="78">
      <c r="A78" s="6" t="inlineStr">
        <is>
          <t>Wed 21 Oct</t>
        </is>
      </c>
      <c r="B78" s="25" t="inlineStr">
        <is>
          <t>18:28</t>
        </is>
      </c>
      <c r="C78" s="6" t="inlineStr">
        <is>
          <t>18:53</t>
        </is>
      </c>
      <c r="D78" s="27" t="inlineStr">
        <is>
          <t>Chess</t>
        </is>
      </c>
      <c r="E78" s="27" t="inlineStr">
        <is>
          <t>Chess</t>
        </is>
      </c>
      <c r="F78" s="6" t="inlineStr">
        <is>
          <t>Semi-final</t>
        </is>
      </c>
      <c r="G78" s="29" t="inlineStr">
        <is>
          <t>CH-R4-01</t>
        </is>
      </c>
      <c r="H78" s="30">
        <f>IF('Chess'!N21="","Winner CH-R3-01",'Chess'!N21)</f>
        <v/>
      </c>
      <c r="I78" s="30">
        <f>IF('Chess'!N22="","Winner CH-R3-02",'Chess'!N22)</f>
        <v/>
      </c>
    </row>
    <row r="79">
      <c r="A79" s="6" t="inlineStr">
        <is>
          <t>Wed 21 Oct</t>
        </is>
      </c>
      <c r="B79" s="25" t="inlineStr">
        <is>
          <t>18:36</t>
        </is>
      </c>
      <c r="C79" s="6" t="inlineStr">
        <is>
          <t>18:48</t>
        </is>
      </c>
      <c r="D79" s="27" t="inlineStr">
        <is>
          <t>TT table</t>
        </is>
      </c>
      <c r="E79" s="27" t="inlineStr">
        <is>
          <t>TT Women's Singles</t>
        </is>
      </c>
      <c r="F79" s="6" t="inlineStr">
        <is>
          <t>Quarter-final</t>
        </is>
      </c>
      <c r="G79" s="29" t="inlineStr">
        <is>
          <t>TWS-R1-01</t>
        </is>
      </c>
      <c r="H79" s="30">
        <f>IF('TT WS'!B7="","Ashna",'TT WS'!B7)</f>
        <v/>
      </c>
      <c r="I79" s="30">
        <f>IF('TT WS'!B8="","Neethu",'TT WS'!B8)</f>
        <v/>
      </c>
    </row>
    <row r="80">
      <c r="A80" s="6" t="inlineStr">
        <is>
          <t>Wed 21 Oct</t>
        </is>
      </c>
      <c r="B80" s="25" t="inlineStr">
        <is>
          <t>18:43</t>
        </is>
      </c>
      <c r="C80" s="6" t="inlineStr">
        <is>
          <t>19:01</t>
        </is>
      </c>
      <c r="D80" s="27" t="inlineStr">
        <is>
          <t>Carrom board</t>
        </is>
      </c>
      <c r="E80" s="27" t="inlineStr">
        <is>
          <t>Carroms Doubles</t>
        </is>
      </c>
      <c r="F80" s="6" t="inlineStr">
        <is>
          <t>Round 2</t>
        </is>
      </c>
      <c r="G80" s="29" t="inlineStr">
        <is>
          <t>CR-R2-08</t>
        </is>
      </c>
      <c r="H80" s="30">
        <f>IF('Carroms'!F65="","Winner CR-R1-14",'Carroms'!F65)</f>
        <v/>
      </c>
      <c r="I80" s="30">
        <f>IF('Carroms'!F66="","Winner CR-R1-15",'Carroms'!F66)</f>
        <v/>
      </c>
    </row>
    <row r="81">
      <c r="A81" s="6" t="inlineStr">
        <is>
          <t>Wed 21 Oct</t>
        </is>
      </c>
      <c r="B81" s="25" t="inlineStr">
        <is>
          <t>18:51</t>
        </is>
      </c>
      <c r="C81" s="6" t="inlineStr">
        <is>
          <t>19:03</t>
        </is>
      </c>
      <c r="D81" s="27" t="inlineStr">
        <is>
          <t>TT table</t>
        </is>
      </c>
      <c r="E81" s="27" t="inlineStr">
        <is>
          <t>TT Men's Singles</t>
        </is>
      </c>
      <c r="F81" s="6" t="inlineStr">
        <is>
          <t>Quarter-final</t>
        </is>
      </c>
      <c r="G81" s="29" t="inlineStr">
        <is>
          <t>TMS-R3-03</t>
        </is>
      </c>
      <c r="H81" s="30">
        <f>IF('TT MS'!J40="","Winner TMS-R2-05",'TT MS'!J40)</f>
        <v/>
      </c>
      <c r="I81" s="30">
        <f>IF('TT MS'!J41="","Winner TMS-R2-06",'TT MS'!J41)</f>
        <v/>
      </c>
    </row>
    <row r="82">
      <c r="A82" s="6" t="inlineStr">
        <is>
          <t>Wed 21 Oct</t>
        </is>
      </c>
      <c r="B82" s="25" t="inlineStr">
        <is>
          <t>19:04</t>
        </is>
      </c>
      <c r="C82" s="6" t="inlineStr">
        <is>
          <t>19:22</t>
        </is>
      </c>
      <c r="D82" s="27" t="inlineStr">
        <is>
          <t>Carrom board</t>
        </is>
      </c>
      <c r="E82" s="27" t="inlineStr">
        <is>
          <t>Carroms Doubles</t>
        </is>
      </c>
      <c r="F82" s="6" t="inlineStr">
        <is>
          <t>Round 2</t>
        </is>
      </c>
      <c r="G82" s="29" t="inlineStr">
        <is>
          <t>CR-R2-05</t>
        </is>
      </c>
      <c r="H82" s="30">
        <f>IF('Carroms'!F41="","Winner CR-R1-08",'Carroms'!F41)</f>
        <v/>
      </c>
      <c r="I82" s="30">
        <f>IF('Carroms'!F42="","Winner CR-R1-09",'Carroms'!F42)</f>
        <v/>
      </c>
    </row>
    <row r="83">
      <c r="A83" s="6" t="inlineStr">
        <is>
          <t>Wed 21 Oct</t>
        </is>
      </c>
      <c r="B83" s="25" t="inlineStr">
        <is>
          <t>19:06</t>
        </is>
      </c>
      <c r="C83" s="6" t="inlineStr">
        <is>
          <t>19:18</t>
        </is>
      </c>
      <c r="D83" s="27" t="inlineStr">
        <is>
          <t>TT table</t>
        </is>
      </c>
      <c r="E83" s="27" t="inlineStr">
        <is>
          <t>TT Women's Singles</t>
        </is>
      </c>
      <c r="F83" s="6" t="inlineStr">
        <is>
          <t>Quarter-final</t>
        </is>
      </c>
      <c r="G83" s="29" t="inlineStr">
        <is>
          <t>TWS-R1-03</t>
        </is>
      </c>
      <c r="H83" s="30">
        <f>IF('TT WS'!B15="","Akhila",'TT WS'!B15)</f>
        <v/>
      </c>
      <c r="I83" s="30">
        <f>IF('TT WS'!B16="","Anan",'TT WS'!B16)</f>
        <v/>
      </c>
    </row>
    <row r="84">
      <c r="A84" s="6" t="inlineStr">
        <is>
          <t>Wed 21 Oct</t>
        </is>
      </c>
      <c r="B84" s="25" t="inlineStr">
        <is>
          <t>19:21</t>
        </is>
      </c>
      <c r="C84" s="6" t="inlineStr">
        <is>
          <t>19:33</t>
        </is>
      </c>
      <c r="D84" s="27" t="inlineStr">
        <is>
          <t>TT table</t>
        </is>
      </c>
      <c r="E84" s="27" t="inlineStr">
        <is>
          <t>TT Women's Singles</t>
        </is>
      </c>
      <c r="F84" s="6" t="inlineStr">
        <is>
          <t>Quarter-final</t>
        </is>
      </c>
      <c r="G84" s="29" t="inlineStr">
        <is>
          <t>TWS-R1-02</t>
        </is>
      </c>
      <c r="H84" s="30">
        <f>IF('TT WS'!B11="","Sradha Santhosh",'TT WS'!B11)</f>
        <v/>
      </c>
      <c r="I84" s="30">
        <f>IF('TT WS'!B12="","Deepanjali",'TT WS'!B12)</f>
        <v/>
      </c>
    </row>
    <row r="85">
      <c r="A85" s="6" t="inlineStr">
        <is>
          <t>Wed 21 Oct</t>
        </is>
      </c>
      <c r="B85" s="25" t="inlineStr">
        <is>
          <t>19:25</t>
        </is>
      </c>
      <c r="C85" s="6" t="inlineStr">
        <is>
          <t>19:43</t>
        </is>
      </c>
      <c r="D85" s="27" t="inlineStr">
        <is>
          <t>Carrom board</t>
        </is>
      </c>
      <c r="E85" s="27" t="inlineStr">
        <is>
          <t>Carroms Doubles</t>
        </is>
      </c>
      <c r="F85" s="6" t="inlineStr">
        <is>
          <t>Round 2</t>
        </is>
      </c>
      <c r="G85" s="29" t="inlineStr">
        <is>
          <t>CR-R2-02</t>
        </is>
      </c>
      <c r="H85" s="30">
        <f>IF('Carroms'!F17="","Winner CR-R1-02",'Carroms'!F17)</f>
        <v/>
      </c>
      <c r="I85" s="30">
        <f>IF('Carroms'!F18="","Winner CR-R1-03",'Carroms'!F18)</f>
        <v/>
      </c>
    </row>
    <row r="86">
      <c r="A86" s="6" t="inlineStr">
        <is>
          <t>Wed 21 Oct</t>
        </is>
      </c>
      <c r="B86" s="25" t="inlineStr">
        <is>
          <t>19:36</t>
        </is>
      </c>
      <c r="C86" s="6" t="inlineStr">
        <is>
          <t>19:48</t>
        </is>
      </c>
      <c r="D86" s="27" t="inlineStr">
        <is>
          <t>TT table</t>
        </is>
      </c>
      <c r="E86" s="27" t="inlineStr">
        <is>
          <t>TT Men's Singles</t>
        </is>
      </c>
      <c r="F86" s="6" t="inlineStr">
        <is>
          <t>Quarter-final</t>
        </is>
      </c>
      <c r="G86" s="29" t="inlineStr">
        <is>
          <t>TMS-R3-02</t>
        </is>
      </c>
      <c r="H86" s="30">
        <f>IF('TT MS'!J25="","Winner TMS-R2-03",'TT MS'!J25)</f>
        <v/>
      </c>
      <c r="I86" s="30">
        <f>IF('TT MS'!J26="","Winner TMS-R2-04",'TT MS'!J26)</f>
        <v/>
      </c>
    </row>
    <row r="87">
      <c r="A87" s="28" t="inlineStr">
        <is>
          <t>Thursday 22 October   ·   12 matches</t>
        </is>
      </c>
    </row>
    <row r="88">
      <c r="A88" s="6" t="inlineStr">
        <is>
          <t>Thu 22 Oct</t>
        </is>
      </c>
      <c r="B88" s="25" t="inlineStr">
        <is>
          <t>18:00</t>
        </is>
      </c>
      <c r="C88" s="6" t="inlineStr">
        <is>
          <t>18:12</t>
        </is>
      </c>
      <c r="D88" s="27" t="inlineStr">
        <is>
          <t>TT table</t>
        </is>
      </c>
      <c r="E88" s="27" t="inlineStr">
        <is>
          <t>TT Men's Singles</t>
        </is>
      </c>
      <c r="F88" s="6" t="inlineStr">
        <is>
          <t>Quarter-final</t>
        </is>
      </c>
      <c r="G88" s="29" t="inlineStr">
        <is>
          <t>TMS-R3-04</t>
        </is>
      </c>
      <c r="H88" s="30">
        <f>IF('TT MS'!J53="","Winner TMS-R2-07",'TT MS'!J53)</f>
        <v/>
      </c>
      <c r="I88" s="30">
        <f>IF('TT MS'!J54="","Winner TMS-R2-08",'TT MS'!J54)</f>
        <v/>
      </c>
    </row>
    <row r="89">
      <c r="A89" s="6" t="inlineStr">
        <is>
          <t>Thu 22 Oct</t>
        </is>
      </c>
      <c r="B89" s="25" t="inlineStr">
        <is>
          <t>18:00</t>
        </is>
      </c>
      <c r="C89" s="6" t="inlineStr">
        <is>
          <t>18:18</t>
        </is>
      </c>
      <c r="D89" s="27" t="inlineStr">
        <is>
          <t>Carrom board</t>
        </is>
      </c>
      <c r="E89" s="27" t="inlineStr">
        <is>
          <t>Carroms Doubles</t>
        </is>
      </c>
      <c r="F89" s="6" t="inlineStr">
        <is>
          <t>Round 2</t>
        </is>
      </c>
      <c r="G89" s="29" t="inlineStr">
        <is>
          <t>CR-R2-03</t>
        </is>
      </c>
      <c r="H89" s="30">
        <f>IF('Carroms'!F25="","Winner CR-R1-04",'Carroms'!F25)</f>
        <v/>
      </c>
      <c r="I89" s="30">
        <f>IF('Carroms'!F26="","Winner CR-R1-05",'Carroms'!F26)</f>
        <v/>
      </c>
    </row>
    <row r="90">
      <c r="A90" s="6" t="inlineStr">
        <is>
          <t>Thu 22 Oct</t>
        </is>
      </c>
      <c r="B90" s="25" t="inlineStr">
        <is>
          <t>18:15</t>
        </is>
      </c>
      <c r="C90" s="6" t="inlineStr">
        <is>
          <t>18:27</t>
        </is>
      </c>
      <c r="D90" s="27" t="inlineStr">
        <is>
          <t>TT table</t>
        </is>
      </c>
      <c r="E90" s="27" t="inlineStr">
        <is>
          <t>TT Women's Singles</t>
        </is>
      </c>
      <c r="F90" s="6" t="inlineStr">
        <is>
          <t>Quarter-final</t>
        </is>
      </c>
      <c r="G90" s="29" t="inlineStr">
        <is>
          <t>TWS-R1-04</t>
        </is>
      </c>
      <c r="H90" s="30">
        <f>IF('TT WS'!B19="","Aparna",'TT WS'!B19)</f>
        <v/>
      </c>
      <c r="I90" s="30">
        <f>IF('TT WS'!B20="","Nivya Mathew",'TT WS'!B20)</f>
        <v/>
      </c>
    </row>
    <row r="91">
      <c r="A91" s="6" t="inlineStr">
        <is>
          <t>Thu 22 Oct</t>
        </is>
      </c>
      <c r="B91" s="25" t="inlineStr">
        <is>
          <t>18:21</t>
        </is>
      </c>
      <c r="C91" s="6" t="inlineStr">
        <is>
          <t>18:39</t>
        </is>
      </c>
      <c r="D91" s="27" t="inlineStr">
        <is>
          <t>Carrom board</t>
        </is>
      </c>
      <c r="E91" s="27" t="inlineStr">
        <is>
          <t>Carroms Doubles</t>
        </is>
      </c>
      <c r="F91" s="6" t="inlineStr">
        <is>
          <t>Round 2</t>
        </is>
      </c>
      <c r="G91" s="29" t="inlineStr">
        <is>
          <t>CR-R2-06</t>
        </is>
      </c>
      <c r="H91" s="30">
        <f>IF('Carroms'!F49="","Winner CR-R1-10",'Carroms'!F49)</f>
        <v/>
      </c>
      <c r="I91" s="30">
        <f>IF('Carroms'!F50="","Winner CR-R1-11",'Carroms'!F50)</f>
        <v/>
      </c>
    </row>
    <row r="92">
      <c r="A92" s="6" t="inlineStr">
        <is>
          <t>Thu 22 Oct</t>
        </is>
      </c>
      <c r="B92" s="25" t="inlineStr">
        <is>
          <t>18:28</t>
        </is>
      </c>
      <c r="C92" s="6" t="inlineStr">
        <is>
          <t>18:53</t>
        </is>
      </c>
      <c r="D92" s="27" t="inlineStr">
        <is>
          <t>Chess</t>
        </is>
      </c>
      <c r="E92" s="27" t="inlineStr">
        <is>
          <t>Chess</t>
        </is>
      </c>
      <c r="F92" s="6" t="inlineStr">
        <is>
          <t>Semi-final</t>
        </is>
      </c>
      <c r="G92" s="29" t="inlineStr">
        <is>
          <t>CH-R4-02</t>
        </is>
      </c>
      <c r="H92" s="30">
        <f>IF('Chess'!N53="","Winner CH-R3-03",'Chess'!N53)</f>
        <v/>
      </c>
      <c r="I92" s="30">
        <f>IF('Chess'!N54="","Winner CH-R3-04",'Chess'!N54)</f>
        <v/>
      </c>
    </row>
    <row r="93">
      <c r="A93" s="6" t="inlineStr">
        <is>
          <t>Thu 22 Oct</t>
        </is>
      </c>
      <c r="B93" s="25" t="inlineStr">
        <is>
          <t>18:30</t>
        </is>
      </c>
      <c r="C93" s="6" t="inlineStr">
        <is>
          <t>18:42</t>
        </is>
      </c>
      <c r="D93" s="27" t="inlineStr">
        <is>
          <t>TT table</t>
        </is>
      </c>
      <c r="E93" s="27" t="inlineStr">
        <is>
          <t>TT Men's Singles</t>
        </is>
      </c>
      <c r="F93" s="6" t="inlineStr">
        <is>
          <t>Semi-final</t>
        </is>
      </c>
      <c r="G93" s="29" t="inlineStr">
        <is>
          <t>TMS-R4-01</t>
        </is>
      </c>
      <c r="H93" s="30">
        <f>IF('TT MS'!N19="","Winner TMS-R3-01",'TT MS'!N19)</f>
        <v/>
      </c>
      <c r="I93" s="30">
        <f>IF('TT MS'!N20="","Winner TMS-R3-02",'TT MS'!N20)</f>
        <v/>
      </c>
    </row>
    <row r="94">
      <c r="A94" s="6" t="inlineStr">
        <is>
          <t>Thu 22 Oct</t>
        </is>
      </c>
      <c r="B94" s="25" t="inlineStr">
        <is>
          <t>18:49</t>
        </is>
      </c>
      <c r="C94" s="6" t="inlineStr">
        <is>
          <t>19:04</t>
        </is>
      </c>
      <c r="D94" s="27" t="inlineStr">
        <is>
          <t>TT table</t>
        </is>
      </c>
      <c r="E94" s="27" t="inlineStr">
        <is>
          <t>TT Women's Doubles</t>
        </is>
      </c>
      <c r="F94" s="6" t="inlineStr">
        <is>
          <t>Semi-final</t>
        </is>
      </c>
      <c r="G94" s="29" t="inlineStr">
        <is>
          <t>TWD-R1-02</t>
        </is>
      </c>
      <c r="H94" s="30">
        <f>IF('TT WD'!B11="","Akhila &amp; Ashna",'TT WD'!B11)</f>
        <v/>
      </c>
      <c r="I94" s="30">
        <f>IF('TT WD'!B12="","Neethu &amp; Nivya Mathew",'TT WD'!B12)</f>
        <v/>
      </c>
    </row>
    <row r="95">
      <c r="A95" s="6" t="inlineStr">
        <is>
          <t>Thu 22 Oct</t>
        </is>
      </c>
      <c r="B95" s="25" t="inlineStr">
        <is>
          <t>19:03</t>
        </is>
      </c>
      <c r="C95" s="6" t="inlineStr">
        <is>
          <t>19:21</t>
        </is>
      </c>
      <c r="D95" s="27" t="inlineStr">
        <is>
          <t>Carrom board</t>
        </is>
      </c>
      <c r="E95" s="27" t="inlineStr">
        <is>
          <t>Carroms Doubles</t>
        </is>
      </c>
      <c r="F95" s="6" t="inlineStr">
        <is>
          <t>Round 2</t>
        </is>
      </c>
      <c r="G95" s="29" t="inlineStr">
        <is>
          <t>CR-R2-07</t>
        </is>
      </c>
      <c r="H95" s="30">
        <f>IF('Carroms'!F57="","Winner CR-R1-12",'Carroms'!F57)</f>
        <v/>
      </c>
      <c r="I95" s="30">
        <f>IF('Carroms'!F58="","Winner CR-R1-13",'Carroms'!F58)</f>
        <v/>
      </c>
    </row>
    <row r="96">
      <c r="A96" s="6" t="inlineStr">
        <is>
          <t>Thu 22 Oct</t>
        </is>
      </c>
      <c r="B96" s="25" t="inlineStr">
        <is>
          <t>19:07</t>
        </is>
      </c>
      <c r="C96" s="6" t="inlineStr">
        <is>
          <t>19:22</t>
        </is>
      </c>
      <c r="D96" s="27" t="inlineStr">
        <is>
          <t>TT table</t>
        </is>
      </c>
      <c r="E96" s="27" t="inlineStr">
        <is>
          <t>TT Men's Doubles</t>
        </is>
      </c>
      <c r="F96" s="6" t="inlineStr">
        <is>
          <t>Semi-final</t>
        </is>
      </c>
      <c r="G96" s="29" t="inlineStr">
        <is>
          <t>TMD-R3-02</t>
        </is>
      </c>
      <c r="H96" s="30">
        <f>IF('TT MD'!J29="","Winner TMD-R2-03",'TT MD'!J29)</f>
        <v/>
      </c>
      <c r="I96" s="30">
        <f>IF('TT MD'!J30="","Winner TMD-R2-04",'TT MD'!J30)</f>
        <v/>
      </c>
    </row>
    <row r="97">
      <c r="A97" s="6" t="inlineStr">
        <is>
          <t>Thu 22 Oct</t>
        </is>
      </c>
      <c r="B97" s="25" t="inlineStr">
        <is>
          <t>19:25</t>
        </is>
      </c>
      <c r="C97" s="6" t="inlineStr">
        <is>
          <t>19:40</t>
        </is>
      </c>
      <c r="D97" s="27" t="inlineStr">
        <is>
          <t>TT table</t>
        </is>
      </c>
      <c r="E97" s="27" t="inlineStr">
        <is>
          <t>TT Women's Doubles</t>
        </is>
      </c>
      <c r="F97" s="6" t="inlineStr">
        <is>
          <t>Semi-final</t>
        </is>
      </c>
      <c r="G97" s="29" t="inlineStr">
        <is>
          <t>TWD-R1-01</t>
        </is>
      </c>
      <c r="H97" s="30">
        <f>IF('TT WD'!B7="","Aparna &amp; Deepanjali",'TT WD'!B7)</f>
        <v/>
      </c>
      <c r="I97" s="30">
        <f>IF('TT WD'!B8="","Sradha Santhosh &amp; Aryamol",'TT WD'!B8)</f>
        <v/>
      </c>
    </row>
    <row r="98">
      <c r="A98" s="6" t="inlineStr">
        <is>
          <t>Thu 22 Oct</t>
        </is>
      </c>
      <c r="B98" s="25" t="inlineStr">
        <is>
          <t>19:32</t>
        </is>
      </c>
      <c r="C98" s="6" t="inlineStr">
        <is>
          <t>19:50</t>
        </is>
      </c>
      <c r="D98" s="27" t="inlineStr">
        <is>
          <t>Carrom board</t>
        </is>
      </c>
      <c r="E98" s="27" t="inlineStr">
        <is>
          <t>Carroms Doubles</t>
        </is>
      </c>
      <c r="F98" s="6" t="inlineStr">
        <is>
          <t>Quarter-final</t>
        </is>
      </c>
      <c r="G98" s="29" t="inlineStr">
        <is>
          <t>CR-R3-01</t>
        </is>
      </c>
      <c r="H98" s="30">
        <f>IF('Carroms'!J13="","Winner CR-R2-01",'Carroms'!J13)</f>
        <v/>
      </c>
      <c r="I98" s="30">
        <f>IF('Carroms'!J14="","Winner CR-R2-02",'Carroms'!J14)</f>
        <v/>
      </c>
    </row>
    <row r="99">
      <c r="A99" s="6" t="inlineStr">
        <is>
          <t>Thu 22 Oct</t>
        </is>
      </c>
      <c r="B99" s="25" t="inlineStr">
        <is>
          <t>19:43</t>
        </is>
      </c>
      <c r="C99" s="6" t="inlineStr">
        <is>
          <t>19:58</t>
        </is>
      </c>
      <c r="D99" s="27" t="inlineStr">
        <is>
          <t>TT table</t>
        </is>
      </c>
      <c r="E99" s="27" t="inlineStr">
        <is>
          <t>TT Men's Doubles</t>
        </is>
      </c>
      <c r="F99" s="6" t="inlineStr">
        <is>
          <t>Semi-final</t>
        </is>
      </c>
      <c r="G99" s="29" t="inlineStr">
        <is>
          <t>TMD-R3-01</t>
        </is>
      </c>
      <c r="H99" s="30">
        <f>IF('TT MD'!J13="","Winner TMD-R2-01",'TT MD'!J13)</f>
        <v/>
      </c>
      <c r="I99" s="30">
        <f>IF('TT MD'!J14="","Winner TMD-R2-02",'TT MD'!J14)</f>
        <v/>
      </c>
    </row>
    <row r="100">
      <c r="A100" s="28" t="inlineStr">
        <is>
          <t>Friday 23 October   ·   7 matches</t>
        </is>
      </c>
    </row>
    <row r="101">
      <c r="A101" s="6" t="inlineStr">
        <is>
          <t>Fri 23 Oct</t>
        </is>
      </c>
      <c r="B101" s="25" t="inlineStr">
        <is>
          <t>18:00</t>
        </is>
      </c>
      <c r="C101" s="6" t="inlineStr">
        <is>
          <t>18:12</t>
        </is>
      </c>
      <c r="D101" s="27" t="inlineStr">
        <is>
          <t>TT table</t>
        </is>
      </c>
      <c r="E101" s="27" t="inlineStr">
        <is>
          <t>TT Men's Singles</t>
        </is>
      </c>
      <c r="F101" s="6" t="inlineStr">
        <is>
          <t>Semi-final</t>
        </is>
      </c>
      <c r="G101" s="29" t="inlineStr">
        <is>
          <t>TMS-R4-02</t>
        </is>
      </c>
      <c r="H101" s="30">
        <f>IF('TT MS'!N47="","Winner TMS-R3-03",'TT MS'!N47)</f>
        <v/>
      </c>
      <c r="I101" s="30">
        <f>IF('TT MS'!N48="","Winner TMS-R3-04",'TT MS'!N48)</f>
        <v/>
      </c>
    </row>
    <row r="102">
      <c r="A102" s="6" t="inlineStr">
        <is>
          <t>Fri 23 Oct</t>
        </is>
      </c>
      <c r="B102" s="25" t="inlineStr">
        <is>
          <t>18:15</t>
        </is>
      </c>
      <c r="C102" s="6" t="inlineStr">
        <is>
          <t>18:27</t>
        </is>
      </c>
      <c r="D102" s="27" t="inlineStr">
        <is>
          <t>TT table</t>
        </is>
      </c>
      <c r="E102" s="27" t="inlineStr">
        <is>
          <t>TT Women's Singles</t>
        </is>
      </c>
      <c r="F102" s="6" t="inlineStr">
        <is>
          <t>Semi-final</t>
        </is>
      </c>
      <c r="G102" s="29" t="inlineStr">
        <is>
          <t>TWS-R2-01</t>
        </is>
      </c>
      <c r="H102" s="30">
        <f>IF('TT WS'!F9="","Winner TWS-R1-01",'TT WS'!F9)</f>
        <v/>
      </c>
      <c r="I102" s="30">
        <f>IF('TT WS'!F10="","Winner TWS-R1-02",'TT WS'!F10)</f>
        <v/>
      </c>
    </row>
    <row r="103">
      <c r="A103" s="6" t="inlineStr">
        <is>
          <t>Fri 23 Oct</t>
        </is>
      </c>
      <c r="B103" s="25" t="inlineStr">
        <is>
          <t>18:22</t>
        </is>
      </c>
      <c r="C103" s="6" t="inlineStr">
        <is>
          <t>18:40</t>
        </is>
      </c>
      <c r="D103" s="27" t="inlineStr">
        <is>
          <t>Carrom board</t>
        </is>
      </c>
      <c r="E103" s="27" t="inlineStr">
        <is>
          <t>Carroms Doubles</t>
        </is>
      </c>
      <c r="F103" s="6" t="inlineStr">
        <is>
          <t>Quarter-final</t>
        </is>
      </c>
      <c r="G103" s="29" t="inlineStr">
        <is>
          <t>CR-R3-03</t>
        </is>
      </c>
      <c r="H103" s="30">
        <f>IF('Carroms'!J45="","Winner CR-R2-05",'Carroms'!J45)</f>
        <v/>
      </c>
      <c r="I103" s="30">
        <f>IF('Carroms'!J46="","Winner CR-R2-06",'Carroms'!J46)</f>
        <v/>
      </c>
    </row>
    <row r="104">
      <c r="A104" s="6" t="inlineStr">
        <is>
          <t>Fri 23 Oct</t>
        </is>
      </c>
      <c r="B104" s="25" t="inlineStr">
        <is>
          <t>18:43</t>
        </is>
      </c>
      <c r="C104" s="6" t="inlineStr">
        <is>
          <t>19:01</t>
        </is>
      </c>
      <c r="D104" s="27" t="inlineStr">
        <is>
          <t>Carrom board</t>
        </is>
      </c>
      <c r="E104" s="27" t="inlineStr">
        <is>
          <t>Carroms Doubles</t>
        </is>
      </c>
      <c r="F104" s="6" t="inlineStr">
        <is>
          <t>Quarter-final</t>
        </is>
      </c>
      <c r="G104" s="29" t="inlineStr">
        <is>
          <t>CR-R3-02</t>
        </is>
      </c>
      <c r="H104" s="30">
        <f>IF('Carroms'!J29="","Winner CR-R2-03",'Carroms'!J29)</f>
        <v/>
      </c>
      <c r="I104" s="30">
        <f>IF('Carroms'!J30="","Winner CR-R2-04",'Carroms'!J30)</f>
        <v/>
      </c>
    </row>
    <row r="105">
      <c r="A105" s="6" t="inlineStr">
        <is>
          <t>Fri 23 Oct</t>
        </is>
      </c>
      <c r="B105" s="25" t="inlineStr">
        <is>
          <t>18:50</t>
        </is>
      </c>
      <c r="C105" s="6" t="inlineStr">
        <is>
          <t>19:02</t>
        </is>
      </c>
      <c r="D105" s="27" t="inlineStr">
        <is>
          <t>TT table</t>
        </is>
      </c>
      <c r="E105" s="27" t="inlineStr">
        <is>
          <t>TT Women's Singles</t>
        </is>
      </c>
      <c r="F105" s="6" t="inlineStr">
        <is>
          <t>Semi-final</t>
        </is>
      </c>
      <c r="G105" s="29" t="inlineStr">
        <is>
          <t>TWS-R2-02</t>
        </is>
      </c>
      <c r="H105" s="30">
        <f>IF('TT WS'!F17="","Winner TWS-R1-03",'TT WS'!F17)</f>
        <v/>
      </c>
      <c r="I105" s="30">
        <f>IF('TT WS'!F18="","Winner TWS-R1-04",'TT WS'!F18)</f>
        <v/>
      </c>
    </row>
    <row r="106">
      <c r="A106" s="6" t="inlineStr">
        <is>
          <t>Fri 23 Oct</t>
        </is>
      </c>
      <c r="B106" s="25" t="inlineStr">
        <is>
          <t>19:04</t>
        </is>
      </c>
      <c r="C106" s="6" t="inlineStr">
        <is>
          <t>19:22</t>
        </is>
      </c>
      <c r="D106" s="27" t="inlineStr">
        <is>
          <t>Carrom board</t>
        </is>
      </c>
      <c r="E106" s="27" t="inlineStr">
        <is>
          <t>Carroms Doubles</t>
        </is>
      </c>
      <c r="F106" s="6" t="inlineStr">
        <is>
          <t>Quarter-final</t>
        </is>
      </c>
      <c r="G106" s="29" t="inlineStr">
        <is>
          <t>CR-R3-04</t>
        </is>
      </c>
      <c r="H106" s="30">
        <f>IF('Carroms'!J61="","Winner CR-R2-07",'Carroms'!J61)</f>
        <v/>
      </c>
      <c r="I106" s="30">
        <f>IF('Carroms'!J62="","Winner CR-R2-08",'Carroms'!J62)</f>
        <v/>
      </c>
    </row>
    <row r="107">
      <c r="A107" s="6" t="inlineStr">
        <is>
          <t>Fri 23 Oct</t>
        </is>
      </c>
      <c r="B107" s="25" t="inlineStr">
        <is>
          <t>19:25</t>
        </is>
      </c>
      <c r="C107" s="6" t="inlineStr">
        <is>
          <t>19:43</t>
        </is>
      </c>
      <c r="D107" s="27" t="inlineStr">
        <is>
          <t>Carrom board</t>
        </is>
      </c>
      <c r="E107" s="27" t="inlineStr">
        <is>
          <t>Carroms Doubles</t>
        </is>
      </c>
      <c r="F107" s="6" t="inlineStr">
        <is>
          <t>Semi-final</t>
        </is>
      </c>
      <c r="G107" s="29" t="inlineStr">
        <is>
          <t>CR-R4-01</t>
        </is>
      </c>
      <c r="H107" s="30">
        <f>IF('Carroms'!N21="","Winner CR-R3-01",'Carroms'!N21)</f>
        <v/>
      </c>
      <c r="I107" s="30">
        <f>IF('Carroms'!N22="","Winner CR-R3-02",'Carroms'!N22)</f>
        <v/>
      </c>
    </row>
    <row r="108">
      <c r="A108" s="28" t="inlineStr">
        <is>
          <t>Monday 26 October   ·   1 match</t>
        </is>
      </c>
    </row>
    <row r="109">
      <c r="A109" s="6" t="inlineStr">
        <is>
          <t>Mon 26 Oct</t>
        </is>
      </c>
      <c r="B109" s="25" t="inlineStr">
        <is>
          <t>18:00</t>
        </is>
      </c>
      <c r="C109" s="6" t="inlineStr">
        <is>
          <t>18:18</t>
        </is>
      </c>
      <c r="D109" s="27" t="inlineStr">
        <is>
          <t>Carrom board</t>
        </is>
      </c>
      <c r="E109" s="27" t="inlineStr">
        <is>
          <t>Carroms Doubles</t>
        </is>
      </c>
      <c r="F109" s="6" t="inlineStr">
        <is>
          <t>Semi-final</t>
        </is>
      </c>
      <c r="G109" s="29" t="inlineStr">
        <is>
          <t>CR-R4-02</t>
        </is>
      </c>
      <c r="H109" s="30">
        <f>IF('Carroms'!N53="","Winner CR-R3-03",'Carroms'!N53)</f>
        <v/>
      </c>
      <c r="I109" s="30">
        <f>IF('Carroms'!N54="","Winner CR-R3-04",'Carroms'!N54)</f>
        <v/>
      </c>
    </row>
    <row r="110">
      <c r="A110" s="28" t="inlineStr">
        <is>
          <t>Tuesday 27 October   ·   3 matches</t>
        </is>
      </c>
    </row>
    <row r="111">
      <c r="A111" s="6" t="inlineStr">
        <is>
          <t>Tue 27 Oct</t>
        </is>
      </c>
      <c r="B111" s="25" t="inlineStr">
        <is>
          <t>19:00</t>
        </is>
      </c>
      <c r="C111" s="6" t="inlineStr"/>
      <c r="D111" s="27" t="inlineStr">
        <is>
          <t>Cricket</t>
        </is>
      </c>
      <c r="E111" s="27" t="inlineStr">
        <is>
          <t>Cricket</t>
        </is>
      </c>
      <c r="F111" s="6" t="inlineStr">
        <is>
          <t>Pool B</t>
        </is>
      </c>
      <c r="G111" s="29" t="inlineStr">
        <is>
          <t>C-GB-01</t>
        </is>
      </c>
      <c r="H111" s="30">
        <f>IF('Cricket'!E19="","Team 1",'Cricket'!E19)</f>
        <v/>
      </c>
      <c r="I111" s="30">
        <f>IF('Cricket'!F19="","Team 4",'Cricket'!F19)</f>
        <v/>
      </c>
    </row>
    <row r="112">
      <c r="A112" s="6" t="inlineStr">
        <is>
          <t>Tue 27 Oct</t>
        </is>
      </c>
      <c r="B112" s="25" t="inlineStr">
        <is>
          <t>follows</t>
        </is>
      </c>
      <c r="C112" s="6" t="inlineStr"/>
      <c r="D112" s="27" t="inlineStr">
        <is>
          <t>Cricket</t>
        </is>
      </c>
      <c r="E112" s="27" t="inlineStr">
        <is>
          <t>Cricket</t>
        </is>
      </c>
      <c r="F112" s="6" t="inlineStr">
        <is>
          <t>Pool A</t>
        </is>
      </c>
      <c r="G112" s="29" t="inlineStr">
        <is>
          <t>C-GA-01</t>
        </is>
      </c>
      <c r="H112" s="30">
        <f>IF('Cricket'!E20="","Team 3",'Cricket'!E20)</f>
        <v/>
      </c>
      <c r="I112" s="30">
        <f>IF('Cricket'!F20="","Team 5",'Cricket'!F20)</f>
        <v/>
      </c>
    </row>
    <row r="113">
      <c r="A113" s="6" t="inlineStr">
        <is>
          <t>Tue 27 Oct</t>
        </is>
      </c>
      <c r="B113" s="25" t="inlineStr">
        <is>
          <t>follows</t>
        </is>
      </c>
      <c r="C113" s="6" t="inlineStr"/>
      <c r="D113" s="27" t="inlineStr">
        <is>
          <t>Cricket</t>
        </is>
      </c>
      <c r="E113" s="27" t="inlineStr">
        <is>
          <t>Cricket</t>
        </is>
      </c>
      <c r="F113" s="6" t="inlineStr">
        <is>
          <t>Pool B</t>
        </is>
      </c>
      <c r="G113" s="29" t="inlineStr">
        <is>
          <t>C-GB-03</t>
        </is>
      </c>
      <c r="H113" s="30">
        <f>IF('Cricket'!E21="","Team 4",'Cricket'!E21)</f>
        <v/>
      </c>
      <c r="I113" s="30">
        <f>IF('Cricket'!F21="","Team 6",'Cricket'!F21)</f>
        <v/>
      </c>
    </row>
    <row r="114">
      <c r="A114" s="28" t="inlineStr">
        <is>
          <t>Wednesday 28 October   ·   3 matches</t>
        </is>
      </c>
    </row>
    <row r="115">
      <c r="A115" s="6" t="inlineStr">
        <is>
          <t>Wed 28 Oct</t>
        </is>
      </c>
      <c r="B115" s="25" t="inlineStr">
        <is>
          <t>19:00</t>
        </is>
      </c>
      <c r="C115" s="6" t="inlineStr"/>
      <c r="D115" s="27" t="inlineStr">
        <is>
          <t>Cricket</t>
        </is>
      </c>
      <c r="E115" s="27" t="inlineStr">
        <is>
          <t>Cricket</t>
        </is>
      </c>
      <c r="F115" s="6" t="inlineStr">
        <is>
          <t>Pool A</t>
        </is>
      </c>
      <c r="G115" s="29" t="inlineStr">
        <is>
          <t>C-GA-02</t>
        </is>
      </c>
      <c r="H115" s="30">
        <f>IF('Cricket'!E22="","Team 2",'Cricket'!E22)</f>
        <v/>
      </c>
      <c r="I115" s="30">
        <f>IF('Cricket'!F22="","Team 3",'Cricket'!F22)</f>
        <v/>
      </c>
    </row>
    <row r="116">
      <c r="A116" s="6" t="inlineStr">
        <is>
          <t>Wed 28 Oct</t>
        </is>
      </c>
      <c r="B116" s="25" t="inlineStr">
        <is>
          <t>follows</t>
        </is>
      </c>
      <c r="C116" s="6" t="inlineStr"/>
      <c r="D116" s="27" t="inlineStr">
        <is>
          <t>Cricket</t>
        </is>
      </c>
      <c r="E116" s="27" t="inlineStr">
        <is>
          <t>Cricket</t>
        </is>
      </c>
      <c r="F116" s="6" t="inlineStr">
        <is>
          <t>Pool B</t>
        </is>
      </c>
      <c r="G116" s="29" t="inlineStr">
        <is>
          <t>C-GB-02</t>
        </is>
      </c>
      <c r="H116" s="30">
        <f>IF('Cricket'!E23="","Team 6",'Cricket'!E23)</f>
        <v/>
      </c>
      <c r="I116" s="30">
        <f>IF('Cricket'!F23="","Team 1",'Cricket'!F23)</f>
        <v/>
      </c>
    </row>
    <row r="117">
      <c r="A117" s="6" t="inlineStr">
        <is>
          <t>Wed 28 Oct</t>
        </is>
      </c>
      <c r="B117" s="25" t="inlineStr">
        <is>
          <t>follows</t>
        </is>
      </c>
      <c r="C117" s="6" t="inlineStr"/>
      <c r="D117" s="27" t="inlineStr">
        <is>
          <t>Cricket</t>
        </is>
      </c>
      <c r="E117" s="27" t="inlineStr">
        <is>
          <t>Cricket</t>
        </is>
      </c>
      <c r="F117" s="6" t="inlineStr">
        <is>
          <t>Pool A</t>
        </is>
      </c>
      <c r="G117" s="29" t="inlineStr">
        <is>
          <t>C-GA-03</t>
        </is>
      </c>
      <c r="H117" s="30">
        <f>IF('Cricket'!E24="","Team 5",'Cricket'!E24)</f>
        <v/>
      </c>
      <c r="I117" s="30">
        <f>IF('Cricket'!F24="","Team 2",'Cricket'!F24)</f>
        <v/>
      </c>
    </row>
    <row r="118">
      <c r="A118" s="28" t="inlineStr">
        <is>
          <t>Thursday 29 October   ·   3 matches</t>
        </is>
      </c>
    </row>
    <row r="119">
      <c r="A119" s="6" t="inlineStr">
        <is>
          <t>Thu 29 Oct</t>
        </is>
      </c>
      <c r="B119" s="25" t="inlineStr">
        <is>
          <t>19:00</t>
        </is>
      </c>
      <c r="C119" s="6" t="inlineStr"/>
      <c r="D119" s="27" t="inlineStr">
        <is>
          <t>Football</t>
        </is>
      </c>
      <c r="E119" s="27" t="inlineStr">
        <is>
          <t>Football</t>
        </is>
      </c>
      <c r="F119" s="6" t="inlineStr">
        <is>
          <t>Pool B</t>
        </is>
      </c>
      <c r="G119" s="29" t="inlineStr">
        <is>
          <t>F-GB-01</t>
        </is>
      </c>
      <c r="H119" s="30">
        <f>IF('Football'!E19="","Team 1",'Football'!E19)</f>
        <v/>
      </c>
      <c r="I119" s="30">
        <f>IF('Football'!F19="","Team 4",'Football'!F19)</f>
        <v/>
      </c>
    </row>
    <row r="120">
      <c r="A120" s="6" t="inlineStr">
        <is>
          <t>Thu 29 Oct</t>
        </is>
      </c>
      <c r="B120" s="25" t="inlineStr">
        <is>
          <t>follows</t>
        </is>
      </c>
      <c r="C120" s="6" t="inlineStr"/>
      <c r="D120" s="27" t="inlineStr">
        <is>
          <t>Football</t>
        </is>
      </c>
      <c r="E120" s="27" t="inlineStr">
        <is>
          <t>Football</t>
        </is>
      </c>
      <c r="F120" s="6" t="inlineStr">
        <is>
          <t>Pool A</t>
        </is>
      </c>
      <c r="G120" s="29" t="inlineStr">
        <is>
          <t>F-GA-01</t>
        </is>
      </c>
      <c r="H120" s="30">
        <f>IF('Football'!E20="","Team 3",'Football'!E20)</f>
        <v/>
      </c>
      <c r="I120" s="30">
        <f>IF('Football'!F20="","Team 5",'Football'!F20)</f>
        <v/>
      </c>
    </row>
    <row r="121">
      <c r="A121" s="6" t="inlineStr">
        <is>
          <t>Thu 29 Oct</t>
        </is>
      </c>
      <c r="B121" s="25" t="inlineStr">
        <is>
          <t>follows</t>
        </is>
      </c>
      <c r="C121" s="6" t="inlineStr"/>
      <c r="D121" s="27" t="inlineStr">
        <is>
          <t>Football</t>
        </is>
      </c>
      <c r="E121" s="27" t="inlineStr">
        <is>
          <t>Football</t>
        </is>
      </c>
      <c r="F121" s="6" t="inlineStr">
        <is>
          <t>Pool B</t>
        </is>
      </c>
      <c r="G121" s="29" t="inlineStr">
        <is>
          <t>F-GB-03</t>
        </is>
      </c>
      <c r="H121" s="30">
        <f>IF('Football'!E21="","Team 4",'Football'!E21)</f>
        <v/>
      </c>
      <c r="I121" s="30">
        <f>IF('Football'!F21="","Team 6",'Football'!F21)</f>
        <v/>
      </c>
    </row>
    <row r="122">
      <c r="A122" s="28" t="inlineStr">
        <is>
          <t>Friday 30 October   ·   3 matches</t>
        </is>
      </c>
    </row>
    <row r="123">
      <c r="A123" s="6" t="inlineStr">
        <is>
          <t>Fri 30 Oct</t>
        </is>
      </c>
      <c r="B123" s="25" t="inlineStr">
        <is>
          <t>19:00</t>
        </is>
      </c>
      <c r="C123" s="6" t="inlineStr"/>
      <c r="D123" s="27" t="inlineStr">
        <is>
          <t>Football</t>
        </is>
      </c>
      <c r="E123" s="27" t="inlineStr">
        <is>
          <t>Football</t>
        </is>
      </c>
      <c r="F123" s="6" t="inlineStr">
        <is>
          <t>Pool A</t>
        </is>
      </c>
      <c r="G123" s="29" t="inlineStr">
        <is>
          <t>F-GA-02</t>
        </is>
      </c>
      <c r="H123" s="30">
        <f>IF('Football'!E22="","Team 2",'Football'!E22)</f>
        <v/>
      </c>
      <c r="I123" s="30">
        <f>IF('Football'!F22="","Team 3",'Football'!F22)</f>
        <v/>
      </c>
    </row>
    <row r="124">
      <c r="A124" s="6" t="inlineStr">
        <is>
          <t>Fri 30 Oct</t>
        </is>
      </c>
      <c r="B124" s="25" t="inlineStr">
        <is>
          <t>follows</t>
        </is>
      </c>
      <c r="C124" s="6" t="inlineStr"/>
      <c r="D124" s="27" t="inlineStr">
        <is>
          <t>Football</t>
        </is>
      </c>
      <c r="E124" s="27" t="inlineStr">
        <is>
          <t>Football</t>
        </is>
      </c>
      <c r="F124" s="6" t="inlineStr">
        <is>
          <t>Pool B</t>
        </is>
      </c>
      <c r="G124" s="29" t="inlineStr">
        <is>
          <t>F-GB-02</t>
        </is>
      </c>
      <c r="H124" s="30">
        <f>IF('Football'!E23="","Team 6",'Football'!E23)</f>
        <v/>
      </c>
      <c r="I124" s="30">
        <f>IF('Football'!F23="","Team 1",'Football'!F23)</f>
        <v/>
      </c>
    </row>
    <row r="125">
      <c r="A125" s="6" t="inlineStr">
        <is>
          <t>Fri 30 Oct</t>
        </is>
      </c>
      <c r="B125" s="25" t="inlineStr">
        <is>
          <t>follows</t>
        </is>
      </c>
      <c r="C125" s="6" t="inlineStr"/>
      <c r="D125" s="27" t="inlineStr">
        <is>
          <t>Football</t>
        </is>
      </c>
      <c r="E125" s="27" t="inlineStr">
        <is>
          <t>Football</t>
        </is>
      </c>
      <c r="F125" s="6" t="inlineStr">
        <is>
          <t>Pool A</t>
        </is>
      </c>
      <c r="G125" s="29" t="inlineStr">
        <is>
          <t>F-GA-03</t>
        </is>
      </c>
      <c r="H125" s="30">
        <f>IF('Football'!E24="","Team 5",'Football'!E24)</f>
        <v/>
      </c>
      <c r="I125" s="30">
        <f>IF('Football'!F24="","Team 2",'Football'!F24)</f>
        <v/>
      </c>
    </row>
    <row r="126">
      <c r="A126" s="32" t="inlineStr">
        <is>
          <t>Sunday 01 November  —  BADMINTON DAY  —  2 courts from 10:00, lunch 13:00–14:00, finals the same day   ·   46 matches</t>
        </is>
      </c>
    </row>
    <row r="127">
      <c r="A127" s="6" t="inlineStr">
        <is>
          <t>Sun 01 Nov</t>
        </is>
      </c>
      <c r="B127" s="25" t="inlineStr">
        <is>
          <t>10:00</t>
        </is>
      </c>
      <c r="C127" s="6" t="inlineStr">
        <is>
          <t>10:15</t>
        </is>
      </c>
      <c r="D127" s="27" t="inlineStr">
        <is>
          <t>Court 1</t>
        </is>
      </c>
      <c r="E127" s="27" t="inlineStr">
        <is>
          <t>Badminton Men's Doubles</t>
        </is>
      </c>
      <c r="F127" s="6" t="inlineStr">
        <is>
          <t>Round 1</t>
        </is>
      </c>
      <c r="G127" s="29" t="inlineStr">
        <is>
          <t>BMD-R1-01</t>
        </is>
      </c>
      <c r="H127" s="30">
        <f>IF('Badminton MD'!B7="","Thomas &amp; Sravan",'Badminton MD'!B7)</f>
        <v/>
      </c>
      <c r="I127" s="30">
        <f>IF('Badminton MD'!B8="","Nidheesh P V &amp; Adhith Vinoj",'Badminton MD'!B8)</f>
        <v/>
      </c>
    </row>
    <row r="128">
      <c r="A128" s="6" t="inlineStr">
        <is>
          <t>Sun 01 Nov</t>
        </is>
      </c>
      <c r="B128" s="25" t="inlineStr">
        <is>
          <t>10:00</t>
        </is>
      </c>
      <c r="C128" s="6" t="inlineStr">
        <is>
          <t>10:15</t>
        </is>
      </c>
      <c r="D128" s="27" t="inlineStr">
        <is>
          <t>Court 2</t>
        </is>
      </c>
      <c r="E128" s="27" t="inlineStr">
        <is>
          <t>Badminton Men's Doubles</t>
        </is>
      </c>
      <c r="F128" s="6" t="inlineStr">
        <is>
          <t>Round 1</t>
        </is>
      </c>
      <c r="G128" s="29" t="inlineStr">
        <is>
          <t>BMD-R1-02</t>
        </is>
      </c>
      <c r="H128" s="30">
        <f>IF('Badminton MD'!B19="","Rithik &amp; Jerin",'Badminton MD'!B19)</f>
        <v/>
      </c>
      <c r="I128" s="30">
        <f>IF('Badminton MD'!B20="","Sahil M I &amp; Rajeesh C V",'Badminton MD'!B20)</f>
        <v/>
      </c>
    </row>
    <row r="129">
      <c r="A129" s="6" t="inlineStr">
        <is>
          <t>Sun 01 Nov</t>
        </is>
      </c>
      <c r="B129" s="25" t="inlineStr">
        <is>
          <t>10:18</t>
        </is>
      </c>
      <c r="C129" s="6" t="inlineStr">
        <is>
          <t>10:33</t>
        </is>
      </c>
      <c r="D129" s="27" t="inlineStr">
        <is>
          <t>Court 1</t>
        </is>
      </c>
      <c r="E129" s="27" t="inlineStr">
        <is>
          <t>Badminton Men's Doubles</t>
        </is>
      </c>
      <c r="F129" s="6" t="inlineStr">
        <is>
          <t>Round 1</t>
        </is>
      </c>
      <c r="G129" s="29" t="inlineStr">
        <is>
          <t>BMD-R1-03</t>
        </is>
      </c>
      <c r="H129" s="30">
        <f>IF('Badminton MD'!B27="","Don &amp; Gautham",'Badminton MD'!B27)</f>
        <v/>
      </c>
      <c r="I129" s="30">
        <f>IF('Badminton MD'!B28="","Joyel &amp; Jithu",'Badminton MD'!B28)</f>
        <v/>
      </c>
    </row>
    <row r="130">
      <c r="A130" s="6" t="inlineStr">
        <is>
          <t>Sun 01 Nov</t>
        </is>
      </c>
      <c r="B130" s="25" t="inlineStr">
        <is>
          <t>10:18</t>
        </is>
      </c>
      <c r="C130" s="6" t="inlineStr">
        <is>
          <t>10:33</t>
        </is>
      </c>
      <c r="D130" s="27" t="inlineStr">
        <is>
          <t>Court 2</t>
        </is>
      </c>
      <c r="E130" s="27" t="inlineStr">
        <is>
          <t>Badminton Women's Doubles</t>
        </is>
      </c>
      <c r="F130" s="6" t="inlineStr">
        <is>
          <t>Round 1</t>
        </is>
      </c>
      <c r="G130" s="29" t="inlineStr">
        <is>
          <t>BWD-R1-01</t>
        </is>
      </c>
      <c r="H130" s="30">
        <f>IF('Badminton WD'!B7="","Nivya Peter &amp; Bilsy",'Badminton WD'!B7)</f>
        <v/>
      </c>
      <c r="I130" s="30">
        <f>IF('Badminton WD'!B8="","Neha &amp; Nandana",'Badminton WD'!B8)</f>
        <v/>
      </c>
    </row>
    <row r="131">
      <c r="A131" s="6" t="inlineStr">
        <is>
          <t>Sun 01 Nov</t>
        </is>
      </c>
      <c r="B131" s="25" t="inlineStr">
        <is>
          <t>10:36</t>
        </is>
      </c>
      <c r="C131" s="6" t="inlineStr">
        <is>
          <t>10:51</t>
        </is>
      </c>
      <c r="D131" s="27" t="inlineStr">
        <is>
          <t>Court 1</t>
        </is>
      </c>
      <c r="E131" s="27" t="inlineStr">
        <is>
          <t>Badminton Men's Singles</t>
        </is>
      </c>
      <c r="F131" s="6" t="inlineStr">
        <is>
          <t>Round 1</t>
        </is>
      </c>
      <c r="G131" s="29" t="inlineStr">
        <is>
          <t>BMS-R1-02</t>
        </is>
      </c>
      <c r="H131" s="30">
        <f>IF('Badminton MS'!B15="","Sahil M I",'Badminton MS'!B15)</f>
        <v/>
      </c>
      <c r="I131" s="30">
        <f>IF('Badminton MS'!B16="","Amal",'Badminton MS'!B16)</f>
        <v/>
      </c>
    </row>
    <row r="132">
      <c r="A132" s="6" t="inlineStr">
        <is>
          <t>Sun 01 Nov</t>
        </is>
      </c>
      <c r="B132" s="25" t="inlineStr">
        <is>
          <t>10:36</t>
        </is>
      </c>
      <c r="C132" s="6" t="inlineStr">
        <is>
          <t>10:51</t>
        </is>
      </c>
      <c r="D132" s="27" t="inlineStr">
        <is>
          <t>Court 2</t>
        </is>
      </c>
      <c r="E132" s="27" t="inlineStr">
        <is>
          <t>Badminton Men's Singles</t>
        </is>
      </c>
      <c r="F132" s="6" t="inlineStr">
        <is>
          <t>Round 1</t>
        </is>
      </c>
      <c r="G132" s="29" t="inlineStr">
        <is>
          <t>BMS-R1-03</t>
        </is>
      </c>
      <c r="H132" s="30">
        <f>IF('Badminton MS'!B23="","Gokul",'Badminton MS'!B23)</f>
        <v/>
      </c>
      <c r="I132" s="30">
        <f>IF('Badminton MS'!B24="","Rajeesh C V",'Badminton MS'!B24)</f>
        <v/>
      </c>
    </row>
    <row r="133">
      <c r="A133" s="6" t="inlineStr">
        <is>
          <t>Sun 01 Nov</t>
        </is>
      </c>
      <c r="B133" s="25" t="inlineStr">
        <is>
          <t>10:54</t>
        </is>
      </c>
      <c r="C133" s="6" t="inlineStr">
        <is>
          <t>11:09</t>
        </is>
      </c>
      <c r="D133" s="27" t="inlineStr">
        <is>
          <t>Court 1</t>
        </is>
      </c>
      <c r="E133" s="27" t="inlineStr">
        <is>
          <t>Badminton Men's Singles</t>
        </is>
      </c>
      <c r="F133" s="6" t="inlineStr">
        <is>
          <t>Round 1</t>
        </is>
      </c>
      <c r="G133" s="29" t="inlineStr">
        <is>
          <t>BMS-R1-01</t>
        </is>
      </c>
      <c r="H133" s="30">
        <f>IF('Badminton MS'!B7="","Joyel",'Badminton MS'!B7)</f>
        <v/>
      </c>
      <c r="I133" s="30">
        <f>IF('Badminton MS'!B8="","Kevin",'Badminton MS'!B8)</f>
        <v/>
      </c>
    </row>
    <row r="134">
      <c r="A134" s="6" t="inlineStr">
        <is>
          <t>Sun 01 Nov</t>
        </is>
      </c>
      <c r="B134" s="25" t="inlineStr">
        <is>
          <t>10:54</t>
        </is>
      </c>
      <c r="C134" s="6" t="inlineStr">
        <is>
          <t>11:09</t>
        </is>
      </c>
      <c r="D134" s="27" t="inlineStr">
        <is>
          <t>Court 2</t>
        </is>
      </c>
      <c r="E134" s="27" t="inlineStr">
        <is>
          <t>Badminton Men's Singles</t>
        </is>
      </c>
      <c r="F134" s="6" t="inlineStr">
        <is>
          <t>Round 1</t>
        </is>
      </c>
      <c r="G134" s="29" t="inlineStr">
        <is>
          <t>BMS-R1-04</t>
        </is>
      </c>
      <c r="H134" s="30">
        <f>IF('Badminton MS'!B31="","Amit",'Badminton MS'!B31)</f>
        <v/>
      </c>
      <c r="I134" s="30">
        <f>IF('Badminton MS'!B32="","Nidheesh P V",'Badminton MS'!B32)</f>
        <v/>
      </c>
    </row>
    <row r="135">
      <c r="A135" s="6" t="inlineStr">
        <is>
          <t>Sun 01 Nov</t>
        </is>
      </c>
      <c r="B135" s="25" t="inlineStr">
        <is>
          <t>11:12</t>
        </is>
      </c>
      <c r="C135" s="6" t="inlineStr">
        <is>
          <t>11:27</t>
        </is>
      </c>
      <c r="D135" s="27" t="inlineStr">
        <is>
          <t>Court 1</t>
        </is>
      </c>
      <c r="E135" s="27" t="inlineStr">
        <is>
          <t>Badminton Women's Doubles</t>
        </is>
      </c>
      <c r="F135" s="6" t="inlineStr">
        <is>
          <t>Round 1</t>
        </is>
      </c>
      <c r="G135" s="29" t="inlineStr">
        <is>
          <t>BWD-R1-02</t>
        </is>
      </c>
      <c r="H135" s="30">
        <f>IF('Badminton WD'!B19="","Ashna &amp; Akhila / Athira",'Badminton WD'!B19)</f>
        <v/>
      </c>
      <c r="I135" s="30">
        <f>IF('Badminton WD'!B20="","Anjaly &amp; Fadwah",'Badminton WD'!B20)</f>
        <v/>
      </c>
    </row>
    <row r="136">
      <c r="A136" s="6" t="inlineStr">
        <is>
          <t>Sun 01 Nov</t>
        </is>
      </c>
      <c r="B136" s="25" t="inlineStr">
        <is>
          <t>11:12</t>
        </is>
      </c>
      <c r="C136" s="6" t="inlineStr">
        <is>
          <t>11:27</t>
        </is>
      </c>
      <c r="D136" s="27" t="inlineStr">
        <is>
          <t>Court 2</t>
        </is>
      </c>
      <c r="E136" s="27" t="inlineStr">
        <is>
          <t>Badminton Women's Doubles</t>
        </is>
      </c>
      <c r="F136" s="6" t="inlineStr">
        <is>
          <t>Round 1</t>
        </is>
      </c>
      <c r="G136" s="29" t="inlineStr">
        <is>
          <t>BWD-R1-03</t>
        </is>
      </c>
      <c r="H136" s="30">
        <f>IF('Badminton WD'!B27="","Manjusha &amp; AnnMary",'Badminton WD'!B27)</f>
        <v/>
      </c>
      <c r="I136" s="30">
        <f>IF('Badminton WD'!B28="","Tressy &amp; Anima",'Badminton WD'!B28)</f>
        <v/>
      </c>
    </row>
    <row r="137">
      <c r="A137" s="6" t="inlineStr">
        <is>
          <t>Sun 01 Nov</t>
        </is>
      </c>
      <c r="B137" s="25" t="inlineStr">
        <is>
          <t>11:30</t>
        </is>
      </c>
      <c r="C137" s="6" t="inlineStr">
        <is>
          <t>11:45</t>
        </is>
      </c>
      <c r="D137" s="27" t="inlineStr">
        <is>
          <t>Court 1</t>
        </is>
      </c>
      <c r="E137" s="27" t="inlineStr">
        <is>
          <t>Badminton Women's Singles</t>
        </is>
      </c>
      <c r="F137" s="6" t="inlineStr">
        <is>
          <t>Round 1</t>
        </is>
      </c>
      <c r="G137" s="29" t="inlineStr">
        <is>
          <t>BWS-R1-02</t>
        </is>
      </c>
      <c r="H137" s="30">
        <f>IF('Badminton WS'!B15="","Vidhya M Robert",'Badminton WS'!B15)</f>
        <v/>
      </c>
      <c r="I137" s="30">
        <f>IF('Badminton WS'!B16="","Merrin",'Badminton WS'!B16)</f>
        <v/>
      </c>
    </row>
    <row r="138">
      <c r="A138" s="6" t="inlineStr">
        <is>
          <t>Sun 01 Nov</t>
        </is>
      </c>
      <c r="B138" s="25" t="inlineStr">
        <is>
          <t>11:30</t>
        </is>
      </c>
      <c r="C138" s="6" t="inlineStr">
        <is>
          <t>11:45</t>
        </is>
      </c>
      <c r="D138" s="27" t="inlineStr">
        <is>
          <t>Court 2</t>
        </is>
      </c>
      <c r="E138" s="27" t="inlineStr">
        <is>
          <t>Badminton Men's Doubles</t>
        </is>
      </c>
      <c r="F138" s="6" t="inlineStr">
        <is>
          <t>Quarter-final</t>
        </is>
      </c>
      <c r="G138" s="29" t="inlineStr">
        <is>
          <t>BMD-R2-01</t>
        </is>
      </c>
      <c r="H138" s="30">
        <f>IF('Badminton MD'!F9="","Ashmil &amp; Jerishab",'Badminton MD'!F9)</f>
        <v/>
      </c>
      <c r="I138" s="30">
        <f>IF('Badminton MD'!F10="","Winner BMD-R1-01",'Badminton MD'!F10)</f>
        <v/>
      </c>
    </row>
    <row r="139">
      <c r="A139" s="6" t="inlineStr">
        <is>
          <t>Sun 01 Nov</t>
        </is>
      </c>
      <c r="B139" s="25" t="inlineStr">
        <is>
          <t>11:48</t>
        </is>
      </c>
      <c r="C139" s="6" t="inlineStr">
        <is>
          <t>12:03</t>
        </is>
      </c>
      <c r="D139" s="27" t="inlineStr">
        <is>
          <t>Court 1</t>
        </is>
      </c>
      <c r="E139" s="27" t="inlineStr">
        <is>
          <t>Badminton Women's Singles</t>
        </is>
      </c>
      <c r="F139" s="6" t="inlineStr">
        <is>
          <t>Round 1</t>
        </is>
      </c>
      <c r="G139" s="29" t="inlineStr">
        <is>
          <t>BWS-R1-01</t>
        </is>
      </c>
      <c r="H139" s="30">
        <f>IF('Badminton WS'!B7="","AnnMary",'Badminton WS'!B7)</f>
        <v/>
      </c>
      <c r="I139" s="30">
        <f>IF('Badminton WS'!B8="","Akshaya",'Badminton WS'!B8)</f>
        <v/>
      </c>
    </row>
    <row r="140">
      <c r="A140" s="6" t="inlineStr">
        <is>
          <t>Sun 01 Nov</t>
        </is>
      </c>
      <c r="B140" s="25" t="inlineStr">
        <is>
          <t>11:48</t>
        </is>
      </c>
      <c r="C140" s="6" t="inlineStr">
        <is>
          <t>12:03</t>
        </is>
      </c>
      <c r="D140" s="27" t="inlineStr">
        <is>
          <t>Court 2</t>
        </is>
      </c>
      <c r="E140" s="27" t="inlineStr">
        <is>
          <t>Badminton Women's Singles</t>
        </is>
      </c>
      <c r="F140" s="6" t="inlineStr">
        <is>
          <t>Round 1</t>
        </is>
      </c>
      <c r="G140" s="29" t="inlineStr">
        <is>
          <t>BWS-R1-03</t>
        </is>
      </c>
      <c r="H140" s="30">
        <f>IF('Badminton WS'!B23="","Anima",'Badminton WS'!B23)</f>
        <v/>
      </c>
      <c r="I140" s="30">
        <f>IF('Badminton WS'!B24="","Anjaly",'Badminton WS'!B24)</f>
        <v/>
      </c>
    </row>
    <row r="141">
      <c r="A141" s="6" t="inlineStr">
        <is>
          <t>Sun 01 Nov</t>
        </is>
      </c>
      <c r="B141" s="25" t="inlineStr">
        <is>
          <t>12:06</t>
        </is>
      </c>
      <c r="C141" s="6" t="inlineStr">
        <is>
          <t>12:21</t>
        </is>
      </c>
      <c r="D141" s="27" t="inlineStr">
        <is>
          <t>Court 1</t>
        </is>
      </c>
      <c r="E141" s="27" t="inlineStr">
        <is>
          <t>Badminton Women's Singles</t>
        </is>
      </c>
      <c r="F141" s="6" t="inlineStr">
        <is>
          <t>Round 1</t>
        </is>
      </c>
      <c r="G141" s="29" t="inlineStr">
        <is>
          <t>BWS-R1-04</t>
        </is>
      </c>
      <c r="H141" s="30">
        <f>IF('Badminton WS'!B31="","Tressy",'Badminton WS'!B31)</f>
        <v/>
      </c>
      <c r="I141" s="30">
        <f>IF('Badminton WS'!B32="","Nivya Mathew",'Badminton WS'!B32)</f>
        <v/>
      </c>
    </row>
    <row r="142">
      <c r="A142" s="6" t="inlineStr">
        <is>
          <t>Sun 01 Nov</t>
        </is>
      </c>
      <c r="B142" s="25" t="inlineStr">
        <is>
          <t>12:06</t>
        </is>
      </c>
      <c r="C142" s="6" t="inlineStr">
        <is>
          <t>12:21</t>
        </is>
      </c>
      <c r="D142" s="27" t="inlineStr">
        <is>
          <t>Court 2</t>
        </is>
      </c>
      <c r="E142" s="27" t="inlineStr">
        <is>
          <t>Badminton Men's Doubles</t>
        </is>
      </c>
      <c r="F142" s="6" t="inlineStr">
        <is>
          <t>Quarter-final</t>
        </is>
      </c>
      <c r="G142" s="29" t="inlineStr">
        <is>
          <t>BMD-R2-02</t>
        </is>
      </c>
      <c r="H142" s="30">
        <f>IF('Badminton MD'!F15="","Sharan &amp; Musthaq",'Badminton MD'!F15)</f>
        <v/>
      </c>
      <c r="I142" s="30">
        <f>IF('Badminton MD'!F16="","Amit &amp; Rishikesh",'Badminton MD'!F16)</f>
        <v/>
      </c>
    </row>
    <row r="143">
      <c r="A143" s="6" t="inlineStr">
        <is>
          <t>Sun 01 Nov</t>
        </is>
      </c>
      <c r="B143" s="25" t="inlineStr">
        <is>
          <t>12:24</t>
        </is>
      </c>
      <c r="C143" s="6" t="inlineStr">
        <is>
          <t>12:39</t>
        </is>
      </c>
      <c r="D143" s="27" t="inlineStr">
        <is>
          <t>Court 1</t>
        </is>
      </c>
      <c r="E143" s="27" t="inlineStr">
        <is>
          <t>Badminton Men's Doubles</t>
        </is>
      </c>
      <c r="F143" s="6" t="inlineStr">
        <is>
          <t>Quarter-final</t>
        </is>
      </c>
      <c r="G143" s="29" t="inlineStr">
        <is>
          <t>BMD-R2-03</t>
        </is>
      </c>
      <c r="H143" s="30">
        <f>IF('Badminton MD'!F21="","Joel &amp; Jayesh",'Badminton MD'!F21)</f>
        <v/>
      </c>
      <c r="I143" s="30">
        <f>IF('Badminton MD'!F22="","Winner BMD-R1-02",'Badminton MD'!F22)</f>
        <v/>
      </c>
    </row>
    <row r="144">
      <c r="A144" s="6" t="inlineStr">
        <is>
          <t>Sun 01 Nov</t>
        </is>
      </c>
      <c r="B144" s="25" t="inlineStr">
        <is>
          <t>12:24</t>
        </is>
      </c>
      <c r="C144" s="6" t="inlineStr">
        <is>
          <t>12:39</t>
        </is>
      </c>
      <c r="D144" s="27" t="inlineStr">
        <is>
          <t>Court 2</t>
        </is>
      </c>
      <c r="E144" s="27" t="inlineStr">
        <is>
          <t>Badminton Men's Doubles</t>
        </is>
      </c>
      <c r="F144" s="6" t="inlineStr">
        <is>
          <t>Quarter-final</t>
        </is>
      </c>
      <c r="G144" s="29" t="inlineStr">
        <is>
          <t>BMD-R2-04</t>
        </is>
      </c>
      <c r="H144" s="30">
        <f>IF('Badminton MD'!F29="","Gokul &amp; Amal",'Badminton MD'!F29)</f>
        <v/>
      </c>
      <c r="I144" s="30">
        <f>IF('Badminton MD'!F30="","Winner BMD-R1-03",'Badminton MD'!F30)</f>
        <v/>
      </c>
    </row>
    <row r="145">
      <c r="A145" s="6" t="inlineStr">
        <is>
          <t>Sun 01 Nov</t>
        </is>
      </c>
      <c r="B145" s="25" t="inlineStr">
        <is>
          <t>12:42</t>
        </is>
      </c>
      <c r="C145" s="6" t="inlineStr">
        <is>
          <t>12:57</t>
        </is>
      </c>
      <c r="D145" s="27" t="inlineStr">
        <is>
          <t>Court 1</t>
        </is>
      </c>
      <c r="E145" s="27" t="inlineStr">
        <is>
          <t>Badminton Women's Doubles</t>
        </is>
      </c>
      <c r="F145" s="6" t="inlineStr">
        <is>
          <t>Quarter-final</t>
        </is>
      </c>
      <c r="G145" s="29" t="inlineStr">
        <is>
          <t>BWD-R2-01</t>
        </is>
      </c>
      <c r="H145" s="30">
        <f>IF('Badminton WD'!F9="","Sradha Santhosh &amp; Vidhya M Robert",'Badminton WD'!F9)</f>
        <v/>
      </c>
      <c r="I145" s="30">
        <f>IF('Badminton WD'!F10="","Winner BWD-R1-01",'Badminton WD'!F10)</f>
        <v/>
      </c>
    </row>
    <row r="146">
      <c r="A146" s="6" t="inlineStr">
        <is>
          <t>Sun 01 Nov</t>
        </is>
      </c>
      <c r="B146" s="25" t="inlineStr">
        <is>
          <t>12:42</t>
        </is>
      </c>
      <c r="C146" s="6" t="inlineStr">
        <is>
          <t>12:57</t>
        </is>
      </c>
      <c r="D146" s="27" t="inlineStr">
        <is>
          <t>Court 2</t>
        </is>
      </c>
      <c r="E146" s="27" t="inlineStr">
        <is>
          <t>Badminton Women's Doubles</t>
        </is>
      </c>
      <c r="F146" s="6" t="inlineStr">
        <is>
          <t>Quarter-final</t>
        </is>
      </c>
      <c r="G146" s="29" t="inlineStr">
        <is>
          <t>BWD-R2-02</t>
        </is>
      </c>
      <c r="H146" s="30">
        <f>IF('Badminton WD'!F15="","Merrin &amp; Akshaya",'Badminton WD'!F15)</f>
        <v/>
      </c>
      <c r="I146" s="30">
        <f>IF('Badminton WD'!F16="","Surya &amp; Josna",'Badminton WD'!F16)</f>
        <v/>
      </c>
    </row>
    <row r="147">
      <c r="A147" s="33" t="inlineStr">
        <is>
          <t>13:00 – 14:00   Lunch break</t>
        </is>
      </c>
    </row>
    <row r="148">
      <c r="A148" s="6" t="inlineStr">
        <is>
          <t>Sun 01 Nov</t>
        </is>
      </c>
      <c r="B148" s="25" t="inlineStr">
        <is>
          <t>14:00</t>
        </is>
      </c>
      <c r="C148" s="6" t="inlineStr">
        <is>
          <t>14:15</t>
        </is>
      </c>
      <c r="D148" s="27" t="inlineStr">
        <is>
          <t>Court 1</t>
        </is>
      </c>
      <c r="E148" s="27" t="inlineStr">
        <is>
          <t>Badminton Men's Singles</t>
        </is>
      </c>
      <c r="F148" s="6" t="inlineStr">
        <is>
          <t>Quarter-final</t>
        </is>
      </c>
      <c r="G148" s="29" t="inlineStr">
        <is>
          <t>BMS-R2-01</t>
        </is>
      </c>
      <c r="H148" s="30">
        <f>IF('Badminton MS'!F9="","Adhith Vinoj",'Badminton MS'!F9)</f>
        <v/>
      </c>
      <c r="I148" s="30">
        <f>IF('Badminton MS'!F10="","Winner BMS-R1-01",'Badminton MS'!F10)</f>
        <v/>
      </c>
    </row>
    <row r="149">
      <c r="A149" s="6" t="inlineStr">
        <is>
          <t>Sun 01 Nov</t>
        </is>
      </c>
      <c r="B149" s="25" t="inlineStr">
        <is>
          <t>14:00</t>
        </is>
      </c>
      <c r="C149" s="6" t="inlineStr">
        <is>
          <t>14:15</t>
        </is>
      </c>
      <c r="D149" s="27" t="inlineStr">
        <is>
          <t>Court 2</t>
        </is>
      </c>
      <c r="E149" s="27" t="inlineStr">
        <is>
          <t>Badminton Men's Singles</t>
        </is>
      </c>
      <c r="F149" s="6" t="inlineStr">
        <is>
          <t>Quarter-final</t>
        </is>
      </c>
      <c r="G149" s="29" t="inlineStr">
        <is>
          <t>BMS-R2-02</t>
        </is>
      </c>
      <c r="H149" s="30">
        <f>IF('Badminton MS'!F17="","Adwaith",'Badminton MS'!F17)</f>
        <v/>
      </c>
      <c r="I149" s="30">
        <f>IF('Badminton MS'!F18="","Winner BMS-R1-02",'Badminton MS'!F18)</f>
        <v/>
      </c>
    </row>
    <row r="150">
      <c r="A150" s="6" t="inlineStr">
        <is>
          <t>Sun 01 Nov</t>
        </is>
      </c>
      <c r="B150" s="25" t="inlineStr">
        <is>
          <t>14:18</t>
        </is>
      </c>
      <c r="C150" s="6" t="inlineStr">
        <is>
          <t>14:33</t>
        </is>
      </c>
      <c r="D150" s="27" t="inlineStr">
        <is>
          <t>Court 1</t>
        </is>
      </c>
      <c r="E150" s="27" t="inlineStr">
        <is>
          <t>Badminton Men's Singles</t>
        </is>
      </c>
      <c r="F150" s="6" t="inlineStr">
        <is>
          <t>Quarter-final</t>
        </is>
      </c>
      <c r="G150" s="29" t="inlineStr">
        <is>
          <t>BMS-R2-03</t>
        </is>
      </c>
      <c r="H150" s="30">
        <f>IF('Badminton MS'!F25="","Joel",'Badminton MS'!F25)</f>
        <v/>
      </c>
      <c r="I150" s="30">
        <f>IF('Badminton MS'!F26="","Winner BMS-R1-03",'Badminton MS'!F26)</f>
        <v/>
      </c>
    </row>
    <row r="151">
      <c r="A151" s="6" t="inlineStr">
        <is>
          <t>Sun 01 Nov</t>
        </is>
      </c>
      <c r="B151" s="25" t="inlineStr">
        <is>
          <t>14:18</t>
        </is>
      </c>
      <c r="C151" s="6" t="inlineStr">
        <is>
          <t>14:33</t>
        </is>
      </c>
      <c r="D151" s="27" t="inlineStr">
        <is>
          <t>Court 2</t>
        </is>
      </c>
      <c r="E151" s="27" t="inlineStr">
        <is>
          <t>Badminton Men's Singles</t>
        </is>
      </c>
      <c r="F151" s="6" t="inlineStr">
        <is>
          <t>Quarter-final</t>
        </is>
      </c>
      <c r="G151" s="29" t="inlineStr">
        <is>
          <t>BMS-R2-04</t>
        </is>
      </c>
      <c r="H151" s="30">
        <f>IF('Badminton MS'!F33="","Jayesh",'Badminton MS'!F33)</f>
        <v/>
      </c>
      <c r="I151" s="30">
        <f>IF('Badminton MS'!F34="","Winner BMS-R1-04",'Badminton MS'!F34)</f>
        <v/>
      </c>
    </row>
    <row r="152">
      <c r="A152" s="6" t="inlineStr">
        <is>
          <t>Sun 01 Nov</t>
        </is>
      </c>
      <c r="B152" s="25" t="inlineStr">
        <is>
          <t>14:36</t>
        </is>
      </c>
      <c r="C152" s="6" t="inlineStr">
        <is>
          <t>14:51</t>
        </is>
      </c>
      <c r="D152" s="27" t="inlineStr">
        <is>
          <t>Court 1</t>
        </is>
      </c>
      <c r="E152" s="27" t="inlineStr">
        <is>
          <t>Badminton Women's Doubles</t>
        </is>
      </c>
      <c r="F152" s="6" t="inlineStr">
        <is>
          <t>Quarter-final</t>
        </is>
      </c>
      <c r="G152" s="29" t="inlineStr">
        <is>
          <t>BWD-R2-03</t>
        </is>
      </c>
      <c r="H152" s="30">
        <f>IF('Badminton WD'!F21="","Aparna &amp; Gayathri",'Badminton WD'!F21)</f>
        <v/>
      </c>
      <c r="I152" s="30">
        <f>IF('Badminton WD'!F22="","Winner BWD-R1-02",'Badminton WD'!F22)</f>
        <v/>
      </c>
    </row>
    <row r="153">
      <c r="A153" s="6" t="inlineStr">
        <is>
          <t>Sun 01 Nov</t>
        </is>
      </c>
      <c r="B153" s="25" t="inlineStr">
        <is>
          <t>14:36</t>
        </is>
      </c>
      <c r="C153" s="6" t="inlineStr">
        <is>
          <t>14:51</t>
        </is>
      </c>
      <c r="D153" s="27" t="inlineStr">
        <is>
          <t>Court 2</t>
        </is>
      </c>
      <c r="E153" s="27" t="inlineStr">
        <is>
          <t>Badminton Women's Doubles</t>
        </is>
      </c>
      <c r="F153" s="6" t="inlineStr">
        <is>
          <t>Quarter-final</t>
        </is>
      </c>
      <c r="G153" s="29" t="inlineStr">
        <is>
          <t>BWD-R2-04</t>
        </is>
      </c>
      <c r="H153" s="30">
        <f>IF('Badminton WD'!F29="","Neethu &amp; Nivya Mathew",'Badminton WD'!F29)</f>
        <v/>
      </c>
      <c r="I153" s="30">
        <f>IF('Badminton WD'!F30="","Winner BWD-R1-03",'Badminton WD'!F30)</f>
        <v/>
      </c>
    </row>
    <row r="154">
      <c r="A154" s="6" t="inlineStr">
        <is>
          <t>Sun 01 Nov</t>
        </is>
      </c>
      <c r="B154" s="25" t="inlineStr">
        <is>
          <t>14:54</t>
        </is>
      </c>
      <c r="C154" s="6" t="inlineStr">
        <is>
          <t>15:09</t>
        </is>
      </c>
      <c r="D154" s="27" t="inlineStr">
        <is>
          <t>Court 1</t>
        </is>
      </c>
      <c r="E154" s="27" t="inlineStr">
        <is>
          <t>Badminton Men's Doubles</t>
        </is>
      </c>
      <c r="F154" s="6" t="inlineStr">
        <is>
          <t>Semi-final</t>
        </is>
      </c>
      <c r="G154" s="29" t="inlineStr">
        <is>
          <t>BMD-R3-01</t>
        </is>
      </c>
      <c r="H154" s="30">
        <f>IF('Badminton MD'!J12="","Winner BMD-R2-01",'Badminton MD'!J12)</f>
        <v/>
      </c>
      <c r="I154" s="30">
        <f>IF('Badminton MD'!J13="","Winner BMD-R2-02",'Badminton MD'!J13)</f>
        <v/>
      </c>
    </row>
    <row r="155">
      <c r="A155" s="6" t="inlineStr">
        <is>
          <t>Sun 01 Nov</t>
        </is>
      </c>
      <c r="B155" s="25" t="inlineStr">
        <is>
          <t>14:54</t>
        </is>
      </c>
      <c r="C155" s="6" t="inlineStr">
        <is>
          <t>15:09</t>
        </is>
      </c>
      <c r="D155" s="27" t="inlineStr">
        <is>
          <t>Court 2</t>
        </is>
      </c>
      <c r="E155" s="27" t="inlineStr">
        <is>
          <t>Badminton Men's Doubles</t>
        </is>
      </c>
      <c r="F155" s="6" t="inlineStr">
        <is>
          <t>Semi-final</t>
        </is>
      </c>
      <c r="G155" s="29" t="inlineStr">
        <is>
          <t>BMD-R3-02</t>
        </is>
      </c>
      <c r="H155" s="30">
        <f>IF('Badminton MD'!J25="","Winner BMD-R2-03",'Badminton MD'!J25)</f>
        <v/>
      </c>
      <c r="I155" s="30">
        <f>IF('Badminton MD'!J26="","Winner BMD-R2-04",'Badminton MD'!J26)</f>
        <v/>
      </c>
    </row>
    <row r="156">
      <c r="A156" s="6" t="inlineStr">
        <is>
          <t>Sun 01 Nov</t>
        </is>
      </c>
      <c r="B156" s="25" t="inlineStr">
        <is>
          <t>15:12</t>
        </is>
      </c>
      <c r="C156" s="6" t="inlineStr">
        <is>
          <t>15:27</t>
        </is>
      </c>
      <c r="D156" s="27" t="inlineStr">
        <is>
          <t>Court 1</t>
        </is>
      </c>
      <c r="E156" s="27" t="inlineStr">
        <is>
          <t>Badminton Women's Singles</t>
        </is>
      </c>
      <c r="F156" s="6" t="inlineStr">
        <is>
          <t>Quarter-final</t>
        </is>
      </c>
      <c r="G156" s="29" t="inlineStr">
        <is>
          <t>BWS-R2-01</t>
        </is>
      </c>
      <c r="H156" s="30">
        <f>IF('Badminton WS'!F9="","Fadwah",'Badminton WS'!F9)</f>
        <v/>
      </c>
      <c r="I156" s="30">
        <f>IF('Badminton WS'!F10="","Winner BWS-R1-01",'Badminton WS'!F10)</f>
        <v/>
      </c>
    </row>
    <row r="157">
      <c r="A157" s="6" t="inlineStr">
        <is>
          <t>Sun 01 Nov</t>
        </is>
      </c>
      <c r="B157" s="25" t="inlineStr">
        <is>
          <t>15:12</t>
        </is>
      </c>
      <c r="C157" s="6" t="inlineStr">
        <is>
          <t>15:27</t>
        </is>
      </c>
      <c r="D157" s="27" t="inlineStr">
        <is>
          <t>Court 2</t>
        </is>
      </c>
      <c r="E157" s="27" t="inlineStr">
        <is>
          <t>Badminton Women's Singles</t>
        </is>
      </c>
      <c r="F157" s="6" t="inlineStr">
        <is>
          <t>Quarter-final</t>
        </is>
      </c>
      <c r="G157" s="29" t="inlineStr">
        <is>
          <t>BWS-R2-02</t>
        </is>
      </c>
      <c r="H157" s="30">
        <f>IF('Badminton WS'!F17="","Neethu",'Badminton WS'!F17)</f>
        <v/>
      </c>
      <c r="I157" s="30">
        <f>IF('Badminton WS'!F18="","Winner BWS-R1-02",'Badminton WS'!F18)</f>
        <v/>
      </c>
    </row>
    <row r="158">
      <c r="A158" s="6" t="inlineStr">
        <is>
          <t>Sun 01 Nov</t>
        </is>
      </c>
      <c r="B158" s="25" t="inlineStr">
        <is>
          <t>15:30</t>
        </is>
      </c>
      <c r="C158" s="6" t="inlineStr">
        <is>
          <t>15:45</t>
        </is>
      </c>
      <c r="D158" s="27" t="inlineStr">
        <is>
          <t>Court 1</t>
        </is>
      </c>
      <c r="E158" s="27" t="inlineStr">
        <is>
          <t>Badminton Women's Singles</t>
        </is>
      </c>
      <c r="F158" s="6" t="inlineStr">
        <is>
          <t>Quarter-final</t>
        </is>
      </c>
      <c r="G158" s="29" t="inlineStr">
        <is>
          <t>BWS-R2-03</t>
        </is>
      </c>
      <c r="H158" s="30">
        <f>IF('Badminton WS'!F25="","Sradha Santhosh",'Badminton WS'!F25)</f>
        <v/>
      </c>
      <c r="I158" s="30">
        <f>IF('Badminton WS'!F26="","Winner BWS-R1-03",'Badminton WS'!F26)</f>
        <v/>
      </c>
    </row>
    <row r="159">
      <c r="A159" s="6" t="inlineStr">
        <is>
          <t>Sun 01 Nov</t>
        </is>
      </c>
      <c r="B159" s="25" t="inlineStr">
        <is>
          <t>15:30</t>
        </is>
      </c>
      <c r="C159" s="6" t="inlineStr">
        <is>
          <t>15:45</t>
        </is>
      </c>
      <c r="D159" s="27" t="inlineStr">
        <is>
          <t>Court 2</t>
        </is>
      </c>
      <c r="E159" s="27" t="inlineStr">
        <is>
          <t>Badminton Women's Singles</t>
        </is>
      </c>
      <c r="F159" s="6" t="inlineStr">
        <is>
          <t>Quarter-final</t>
        </is>
      </c>
      <c r="G159" s="29" t="inlineStr">
        <is>
          <t>BWS-R2-04</t>
        </is>
      </c>
      <c r="H159" s="30">
        <f>IF('Badminton WS'!F33="","Gayathri",'Badminton WS'!F33)</f>
        <v/>
      </c>
      <c r="I159" s="30">
        <f>IF('Badminton WS'!F34="","Winner BWS-R1-04",'Badminton WS'!F34)</f>
        <v/>
      </c>
    </row>
    <row r="160">
      <c r="A160" s="6" t="inlineStr">
        <is>
          <t>Sun 01 Nov</t>
        </is>
      </c>
      <c r="B160" s="25" t="inlineStr">
        <is>
          <t>15:48</t>
        </is>
      </c>
      <c r="C160" s="6" t="inlineStr">
        <is>
          <t>16:03</t>
        </is>
      </c>
      <c r="D160" s="27" t="inlineStr">
        <is>
          <t>Court 1</t>
        </is>
      </c>
      <c r="E160" s="27" t="inlineStr">
        <is>
          <t>Badminton Men's Singles</t>
        </is>
      </c>
      <c r="F160" s="6" t="inlineStr">
        <is>
          <t>Semi-final</t>
        </is>
      </c>
      <c r="G160" s="29" t="inlineStr">
        <is>
          <t>BMS-R3-01</t>
        </is>
      </c>
      <c r="H160" s="30">
        <f>IF('Badminton MS'!J13="","Winner BMS-R2-01",'Badminton MS'!J13)</f>
        <v/>
      </c>
      <c r="I160" s="30">
        <f>IF('Badminton MS'!J14="","Winner BMS-R2-02",'Badminton MS'!J14)</f>
        <v/>
      </c>
    </row>
    <row r="161">
      <c r="A161" s="6" t="inlineStr">
        <is>
          <t>Sun 01 Nov</t>
        </is>
      </c>
      <c r="B161" s="25" t="inlineStr">
        <is>
          <t>15:48</t>
        </is>
      </c>
      <c r="C161" s="6" t="inlineStr">
        <is>
          <t>16:03</t>
        </is>
      </c>
      <c r="D161" s="27" t="inlineStr">
        <is>
          <t>Court 2</t>
        </is>
      </c>
      <c r="E161" s="27" t="inlineStr">
        <is>
          <t>Badminton Men's Singles</t>
        </is>
      </c>
      <c r="F161" s="6" t="inlineStr">
        <is>
          <t>Semi-final</t>
        </is>
      </c>
      <c r="G161" s="29" t="inlineStr">
        <is>
          <t>BMS-R3-02</t>
        </is>
      </c>
      <c r="H161" s="30">
        <f>IF('Badminton MS'!J29="","Winner BMS-R2-03",'Badminton MS'!J29)</f>
        <v/>
      </c>
      <c r="I161" s="30">
        <f>IF('Badminton MS'!J30="","Winner BMS-R2-04",'Badminton MS'!J30)</f>
        <v/>
      </c>
    </row>
    <row r="162">
      <c r="A162" s="6" t="inlineStr">
        <is>
          <t>Sun 01 Nov</t>
        </is>
      </c>
      <c r="B162" s="25" t="inlineStr">
        <is>
          <t>16:06</t>
        </is>
      </c>
      <c r="C162" s="6" t="inlineStr">
        <is>
          <t>16:21</t>
        </is>
      </c>
      <c r="D162" s="27" t="inlineStr">
        <is>
          <t>Court 1</t>
        </is>
      </c>
      <c r="E162" s="27" t="inlineStr">
        <is>
          <t>Badminton Women's Doubles</t>
        </is>
      </c>
      <c r="F162" s="6" t="inlineStr">
        <is>
          <t>Semi-final</t>
        </is>
      </c>
      <c r="G162" s="29" t="inlineStr">
        <is>
          <t>BWD-R3-01</t>
        </is>
      </c>
      <c r="H162" s="30">
        <f>IF('Badminton WD'!J12="","Winner BWD-R2-01",'Badminton WD'!J12)</f>
        <v/>
      </c>
      <c r="I162" s="30">
        <f>IF('Badminton WD'!J13="","Winner BWD-R2-02",'Badminton WD'!J13)</f>
        <v/>
      </c>
    </row>
    <row r="163">
      <c r="A163" s="6" t="inlineStr">
        <is>
          <t>Sun 01 Nov</t>
        </is>
      </c>
      <c r="B163" s="25" t="inlineStr">
        <is>
          <t>16:06</t>
        </is>
      </c>
      <c r="C163" s="6" t="inlineStr">
        <is>
          <t>16:21</t>
        </is>
      </c>
      <c r="D163" s="27" t="inlineStr">
        <is>
          <t>Court 2</t>
        </is>
      </c>
      <c r="E163" s="27" t="inlineStr">
        <is>
          <t>Badminton Women's Doubles</t>
        </is>
      </c>
      <c r="F163" s="6" t="inlineStr">
        <is>
          <t>Semi-final</t>
        </is>
      </c>
      <c r="G163" s="29" t="inlineStr">
        <is>
          <t>BWD-R3-02</t>
        </is>
      </c>
      <c r="H163" s="30">
        <f>IF('Badminton WD'!J25="","Winner BWD-R2-03",'Badminton WD'!J25)</f>
        <v/>
      </c>
      <c r="I163" s="30">
        <f>IF('Badminton WD'!J26="","Winner BWD-R2-04",'Badminton WD'!J26)</f>
        <v/>
      </c>
    </row>
    <row r="164">
      <c r="A164" s="6" t="inlineStr">
        <is>
          <t>Sun 01 Nov</t>
        </is>
      </c>
      <c r="B164" s="25" t="inlineStr">
        <is>
          <t>16:31</t>
        </is>
      </c>
      <c r="C164" s="6" t="inlineStr">
        <is>
          <t>16:46</t>
        </is>
      </c>
      <c r="D164" s="27" t="inlineStr">
        <is>
          <t>Court 1</t>
        </is>
      </c>
      <c r="E164" s="27" t="inlineStr">
        <is>
          <t>Badminton Women's Singles</t>
        </is>
      </c>
      <c r="F164" s="6" t="inlineStr">
        <is>
          <t>Semi-final</t>
        </is>
      </c>
      <c r="G164" s="29" t="inlineStr">
        <is>
          <t>BWS-R3-01</t>
        </is>
      </c>
      <c r="H164" s="30">
        <f>IF('Badminton WS'!J13="","Winner BWS-R2-01",'Badminton WS'!J13)</f>
        <v/>
      </c>
      <c r="I164" s="30">
        <f>IF('Badminton WS'!J14="","Winner BWS-R2-02",'Badminton WS'!J14)</f>
        <v/>
      </c>
    </row>
    <row r="165">
      <c r="A165" s="6" t="inlineStr">
        <is>
          <t>Sun 01 Nov</t>
        </is>
      </c>
      <c r="B165" s="25" t="inlineStr">
        <is>
          <t>16:31</t>
        </is>
      </c>
      <c r="C165" s="6" t="inlineStr">
        <is>
          <t>16:46</t>
        </is>
      </c>
      <c r="D165" s="27" t="inlineStr">
        <is>
          <t>Court 2</t>
        </is>
      </c>
      <c r="E165" s="27" t="inlineStr">
        <is>
          <t>Badminton Women's Singles</t>
        </is>
      </c>
      <c r="F165" s="6" t="inlineStr">
        <is>
          <t>Semi-final</t>
        </is>
      </c>
      <c r="G165" s="29" t="inlineStr">
        <is>
          <t>BWS-R3-02</t>
        </is>
      </c>
      <c r="H165" s="30">
        <f>IF('Badminton WS'!J29="","Winner BWS-R2-03",'Badminton WS'!J29)</f>
        <v/>
      </c>
      <c r="I165" s="30">
        <f>IF('Badminton WS'!J30="","Winner BWS-R2-04",'Badminton WS'!J30)</f>
        <v/>
      </c>
    </row>
    <row r="166">
      <c r="A166" s="6" t="inlineStr">
        <is>
          <t>Sun 01 Nov</t>
        </is>
      </c>
      <c r="B166" s="25" t="inlineStr">
        <is>
          <t>16:49</t>
        </is>
      </c>
      <c r="C166" s="6" t="inlineStr">
        <is>
          <t>17:04</t>
        </is>
      </c>
      <c r="D166" s="27" t="inlineStr">
        <is>
          <t>Court 1</t>
        </is>
      </c>
      <c r="E166" s="27" t="inlineStr">
        <is>
          <t>Badminton Men's Doubles</t>
        </is>
      </c>
      <c r="F166" s="6" t="inlineStr">
        <is>
          <t>3rd Place</t>
        </is>
      </c>
      <c r="G166" s="29" t="inlineStr">
        <is>
          <t>BMD-3P-01</t>
        </is>
      </c>
      <c r="H166" s="30">
        <f>IF('Badminton MD'!N24="","Loser BMD-R3-01",'Badminton MD'!N24)</f>
        <v/>
      </c>
      <c r="I166" s="30">
        <f>IF('Badminton MD'!N25="","Loser BMD-R3-02",'Badminton MD'!N25)</f>
        <v/>
      </c>
    </row>
    <row r="167">
      <c r="A167" s="6" t="inlineStr">
        <is>
          <t>Sun 01 Nov</t>
        </is>
      </c>
      <c r="B167" s="25" t="inlineStr">
        <is>
          <t>16:56</t>
        </is>
      </c>
      <c r="C167" s="6" t="inlineStr">
        <is>
          <t>17:11</t>
        </is>
      </c>
      <c r="D167" s="27" t="inlineStr">
        <is>
          <t>Court 2</t>
        </is>
      </c>
      <c r="E167" s="27" t="inlineStr">
        <is>
          <t>Badminton Women's Doubles</t>
        </is>
      </c>
      <c r="F167" s="6" t="inlineStr">
        <is>
          <t>3rd Place</t>
        </is>
      </c>
      <c r="G167" s="29" t="inlineStr">
        <is>
          <t>BWD-3P-01</t>
        </is>
      </c>
      <c r="H167" s="30">
        <f>IF('Badminton WD'!N24="","Loser BWD-R3-01",'Badminton WD'!N24)</f>
        <v/>
      </c>
      <c r="I167" s="30">
        <f>IF('Badminton WD'!N25="","Loser BWD-R3-02",'Badminton WD'!N25)</f>
        <v/>
      </c>
    </row>
    <row r="168">
      <c r="A168" s="6" t="inlineStr">
        <is>
          <t>Sun 01 Nov</t>
        </is>
      </c>
      <c r="B168" s="25" t="inlineStr">
        <is>
          <t>17:14</t>
        </is>
      </c>
      <c r="C168" s="6" t="inlineStr">
        <is>
          <t>17:29</t>
        </is>
      </c>
      <c r="D168" s="27" t="inlineStr">
        <is>
          <t>Court 1</t>
        </is>
      </c>
      <c r="E168" s="27" t="inlineStr">
        <is>
          <t>Badminton Men's Singles</t>
        </is>
      </c>
      <c r="F168" s="6" t="inlineStr">
        <is>
          <t>3rd Place</t>
        </is>
      </c>
      <c r="G168" s="29" t="inlineStr">
        <is>
          <t>BMS-3P-01</t>
        </is>
      </c>
      <c r="H168" s="30">
        <f>IF('Badminton MS'!N26="","Loser BMS-R3-01",'Badminton MS'!N26)</f>
        <v/>
      </c>
      <c r="I168" s="30">
        <f>IF('Badminton MS'!N27="","Loser BMS-R3-02",'Badminton MS'!N27)</f>
        <v/>
      </c>
    </row>
    <row r="169">
      <c r="A169" s="6" t="inlineStr">
        <is>
          <t>Sun 01 Nov</t>
        </is>
      </c>
      <c r="B169" s="25" t="inlineStr">
        <is>
          <t>17:21</t>
        </is>
      </c>
      <c r="C169" s="6" t="inlineStr">
        <is>
          <t>17:36</t>
        </is>
      </c>
      <c r="D169" s="27" t="inlineStr">
        <is>
          <t>Court 2</t>
        </is>
      </c>
      <c r="E169" s="27" t="inlineStr">
        <is>
          <t>Badminton Women's Singles</t>
        </is>
      </c>
      <c r="F169" s="6" t="inlineStr">
        <is>
          <t>3rd Place</t>
        </is>
      </c>
      <c r="G169" s="29" t="inlineStr">
        <is>
          <t>BWS-3P-01</t>
        </is>
      </c>
      <c r="H169" s="30">
        <f>IF('Badminton WS'!N26="","Loser BWS-R3-01",'Badminton WS'!N26)</f>
        <v/>
      </c>
      <c r="I169" s="30">
        <f>IF('Badminton WS'!N27="","Loser BWS-R3-02",'Badminton WS'!N27)</f>
        <v/>
      </c>
    </row>
    <row r="170">
      <c r="A170" s="6" t="inlineStr">
        <is>
          <t>Sun 01 Nov</t>
        </is>
      </c>
      <c r="B170" s="25" t="inlineStr">
        <is>
          <t>17:39</t>
        </is>
      </c>
      <c r="C170" s="6" t="inlineStr">
        <is>
          <t>17:54</t>
        </is>
      </c>
      <c r="D170" s="27" t="inlineStr">
        <is>
          <t>Court 1</t>
        </is>
      </c>
      <c r="E170" s="27" t="inlineStr">
        <is>
          <t>Badminton Men's Doubles</t>
        </is>
      </c>
      <c r="F170" s="6" t="inlineStr">
        <is>
          <t>Final</t>
        </is>
      </c>
      <c r="G170" s="29" t="inlineStr">
        <is>
          <t>BMD-R4-01</t>
        </is>
      </c>
      <c r="H170" s="30">
        <f>IF('Badminton MD'!N19="","Winner BMD-R3-01",'Badminton MD'!N19)</f>
        <v/>
      </c>
      <c r="I170" s="30">
        <f>IF('Badminton MD'!N20="","Winner BMD-R3-02",'Badminton MD'!N20)</f>
        <v/>
      </c>
    </row>
    <row r="171">
      <c r="A171" s="6" t="inlineStr">
        <is>
          <t>Sun 01 Nov</t>
        </is>
      </c>
      <c r="B171" s="25" t="inlineStr">
        <is>
          <t>17:46</t>
        </is>
      </c>
      <c r="C171" s="6" t="inlineStr">
        <is>
          <t>18:01</t>
        </is>
      </c>
      <c r="D171" s="27" t="inlineStr">
        <is>
          <t>Court 2</t>
        </is>
      </c>
      <c r="E171" s="27" t="inlineStr">
        <is>
          <t>Badminton Women's Doubles</t>
        </is>
      </c>
      <c r="F171" s="6" t="inlineStr">
        <is>
          <t>Final</t>
        </is>
      </c>
      <c r="G171" s="29" t="inlineStr">
        <is>
          <t>BWD-R4-01</t>
        </is>
      </c>
      <c r="H171" s="30">
        <f>IF('Badminton WD'!N19="","Winner BWD-R3-01",'Badminton WD'!N19)</f>
        <v/>
      </c>
      <c r="I171" s="30">
        <f>IF('Badminton WD'!N20="","Winner BWD-R3-02",'Badminton WD'!N20)</f>
        <v/>
      </c>
    </row>
    <row r="172">
      <c r="A172" s="6" t="inlineStr">
        <is>
          <t>Sun 01 Nov</t>
        </is>
      </c>
      <c r="B172" s="25" t="inlineStr">
        <is>
          <t>18:04</t>
        </is>
      </c>
      <c r="C172" s="6" t="inlineStr">
        <is>
          <t>18:19</t>
        </is>
      </c>
      <c r="D172" s="27" t="inlineStr">
        <is>
          <t>Court 1</t>
        </is>
      </c>
      <c r="E172" s="27" t="inlineStr">
        <is>
          <t>Badminton Men's Singles</t>
        </is>
      </c>
      <c r="F172" s="6" t="inlineStr">
        <is>
          <t>Final</t>
        </is>
      </c>
      <c r="G172" s="29" t="inlineStr">
        <is>
          <t>BMS-R4-01</t>
        </is>
      </c>
      <c r="H172" s="30">
        <f>IF('Badminton MS'!N21="","Winner BMS-R3-01",'Badminton MS'!N21)</f>
        <v/>
      </c>
      <c r="I172" s="30">
        <f>IF('Badminton MS'!N22="","Winner BMS-R3-02",'Badminton MS'!N22)</f>
        <v/>
      </c>
    </row>
    <row r="173">
      <c r="A173" s="6" t="inlineStr">
        <is>
          <t>Sun 01 Nov</t>
        </is>
      </c>
      <c r="B173" s="25" t="inlineStr">
        <is>
          <t>18:11</t>
        </is>
      </c>
      <c r="C173" s="6" t="inlineStr">
        <is>
          <t>18:26</t>
        </is>
      </c>
      <c r="D173" s="27" t="inlineStr">
        <is>
          <t>Court 2</t>
        </is>
      </c>
      <c r="E173" s="27" t="inlineStr">
        <is>
          <t>Badminton Women's Singles</t>
        </is>
      </c>
      <c r="F173" s="6" t="inlineStr">
        <is>
          <t>Final</t>
        </is>
      </c>
      <c r="G173" s="29" t="inlineStr">
        <is>
          <t>BWS-R4-01</t>
        </is>
      </c>
      <c r="H173" s="30">
        <f>IF('Badminton WS'!N21="","Winner BWS-R3-01",'Badminton WS'!N21)</f>
        <v/>
      </c>
      <c r="I173" s="30">
        <f>IF('Badminton WS'!N22="","Winner BWS-R3-02",'Badminton WS'!N22)</f>
        <v/>
      </c>
    </row>
    <row r="174">
      <c r="A174" s="28" t="inlineStr">
        <is>
          <t>Monday 02 November  —  FINALS EVENING  —  Chess, Carrom &amp; Table Tennis   ·   12 matches</t>
        </is>
      </c>
    </row>
    <row r="175">
      <c r="A175" s="6" t="inlineStr">
        <is>
          <t>Mon 02 Nov</t>
        </is>
      </c>
      <c r="B175" s="25" t="inlineStr">
        <is>
          <t>18:00</t>
        </is>
      </c>
      <c r="C175" s="6" t="inlineStr">
        <is>
          <t>18:12</t>
        </is>
      </c>
      <c r="D175" s="27" t="inlineStr">
        <is>
          <t>TT table</t>
        </is>
      </c>
      <c r="E175" s="27" t="inlineStr">
        <is>
          <t>TT Women's Singles</t>
        </is>
      </c>
      <c r="F175" s="6" t="inlineStr">
        <is>
          <t>3rd Place</t>
        </is>
      </c>
      <c r="G175" s="29" t="inlineStr">
        <is>
          <t>TWS-3P-01</t>
        </is>
      </c>
      <c r="H175" s="30">
        <f>IF('TT WS'!J18="","Loser TWS-R2-01",'TT WS'!J18)</f>
        <v/>
      </c>
      <c r="I175" s="30">
        <f>IF('TT WS'!J19="","Loser TWS-R2-02",'TT WS'!J19)</f>
        <v/>
      </c>
    </row>
    <row r="176">
      <c r="A176" s="6" t="inlineStr">
        <is>
          <t>Mon 02 Nov</t>
        </is>
      </c>
      <c r="B176" s="25" t="inlineStr">
        <is>
          <t>18:00</t>
        </is>
      </c>
      <c r="C176" s="6" t="inlineStr">
        <is>
          <t>18:18</t>
        </is>
      </c>
      <c r="D176" s="27" t="inlineStr">
        <is>
          <t>Carrom board</t>
        </is>
      </c>
      <c r="E176" s="27" t="inlineStr">
        <is>
          <t>Carroms Doubles</t>
        </is>
      </c>
      <c r="F176" s="6" t="inlineStr">
        <is>
          <t>3rd Place</t>
        </is>
      </c>
      <c r="G176" s="29" t="inlineStr">
        <is>
          <t>CR-3P-01</t>
        </is>
      </c>
      <c r="H176" s="30">
        <f>IF('Carroms'!R42="","Loser CR-R4-01",'Carroms'!R42)</f>
        <v/>
      </c>
      <c r="I176" s="30">
        <f>IF('Carroms'!R43="","Loser CR-R4-02",'Carroms'!R43)</f>
        <v/>
      </c>
    </row>
    <row r="177">
      <c r="A177" s="6" t="inlineStr">
        <is>
          <t>Mon 02 Nov</t>
        </is>
      </c>
      <c r="B177" s="25" t="inlineStr">
        <is>
          <t>18:00</t>
        </is>
      </c>
      <c r="C177" s="6" t="inlineStr">
        <is>
          <t>18:25</t>
        </is>
      </c>
      <c r="D177" s="27" t="inlineStr">
        <is>
          <t>Chess</t>
        </is>
      </c>
      <c r="E177" s="27" t="inlineStr">
        <is>
          <t>Chess</t>
        </is>
      </c>
      <c r="F177" s="6" t="inlineStr">
        <is>
          <t>3rd Place</t>
        </is>
      </c>
      <c r="G177" s="29" t="inlineStr">
        <is>
          <t>CH-3P-01</t>
        </is>
      </c>
      <c r="H177" s="30">
        <f>IF('Chess'!R42="","Loser CH-R4-01",'Chess'!R42)</f>
        <v/>
      </c>
      <c r="I177" s="30">
        <f>IF('Chess'!R43="","Loser CH-R4-02",'Chess'!R43)</f>
        <v/>
      </c>
    </row>
    <row r="178">
      <c r="A178" s="6" t="inlineStr">
        <is>
          <t>Mon 02 Nov</t>
        </is>
      </c>
      <c r="B178" s="25" t="inlineStr">
        <is>
          <t>18:00</t>
        </is>
      </c>
      <c r="C178" s="6" t="inlineStr">
        <is>
          <t>18:25</t>
        </is>
      </c>
      <c r="D178" s="27" t="inlineStr">
        <is>
          <t>Chess</t>
        </is>
      </c>
      <c r="E178" s="27" t="inlineStr">
        <is>
          <t>Chess</t>
        </is>
      </c>
      <c r="F178" s="6" t="inlineStr">
        <is>
          <t>Final</t>
        </is>
      </c>
      <c r="G178" s="29" t="inlineStr">
        <is>
          <t>CH-R5-01</t>
        </is>
      </c>
      <c r="H178" s="30">
        <f>IF('Chess'!R37="","Winner CH-R4-01",'Chess'!R37)</f>
        <v/>
      </c>
      <c r="I178" s="30">
        <f>IF('Chess'!R38="","Winner CH-R4-02",'Chess'!R38)</f>
        <v/>
      </c>
    </row>
    <row r="179">
      <c r="A179" s="6" t="inlineStr">
        <is>
          <t>Mon 02 Nov</t>
        </is>
      </c>
      <c r="B179" s="25" t="inlineStr">
        <is>
          <t>18:15</t>
        </is>
      </c>
      <c r="C179" s="6" t="inlineStr">
        <is>
          <t>18:27</t>
        </is>
      </c>
      <c r="D179" s="27" t="inlineStr">
        <is>
          <t>TT table</t>
        </is>
      </c>
      <c r="E179" s="27" t="inlineStr">
        <is>
          <t>TT Men's Singles</t>
        </is>
      </c>
      <c r="F179" s="6" t="inlineStr">
        <is>
          <t>3rd Place</t>
        </is>
      </c>
      <c r="G179" s="29" t="inlineStr">
        <is>
          <t>TMS-3P-01</t>
        </is>
      </c>
      <c r="H179" s="30">
        <f>IF('TT MS'!R38="","Loser TMS-R4-01",'TT MS'!R38)</f>
        <v/>
      </c>
      <c r="I179" s="30">
        <f>IF('TT MS'!R39="","Loser TMS-R4-02",'TT MS'!R39)</f>
        <v/>
      </c>
    </row>
    <row r="180">
      <c r="A180" s="6" t="inlineStr">
        <is>
          <t>Mon 02 Nov</t>
        </is>
      </c>
      <c r="B180" s="25" t="inlineStr">
        <is>
          <t>18:21</t>
        </is>
      </c>
      <c r="C180" s="6" t="inlineStr">
        <is>
          <t>18:39</t>
        </is>
      </c>
      <c r="D180" s="27" t="inlineStr">
        <is>
          <t>Carrom board</t>
        </is>
      </c>
      <c r="E180" s="27" t="inlineStr">
        <is>
          <t>Carroms Doubles</t>
        </is>
      </c>
      <c r="F180" s="6" t="inlineStr">
        <is>
          <t>Final</t>
        </is>
      </c>
      <c r="G180" s="29" t="inlineStr">
        <is>
          <t>CR-R5-01</t>
        </is>
      </c>
      <c r="H180" s="30">
        <f>IF('Carroms'!R37="","Winner CR-R4-01",'Carroms'!R37)</f>
        <v/>
      </c>
      <c r="I180" s="30">
        <f>IF('Carroms'!R38="","Winner CR-R4-02",'Carroms'!R38)</f>
        <v/>
      </c>
    </row>
    <row r="181">
      <c r="A181" s="6" t="inlineStr">
        <is>
          <t>Mon 02 Nov</t>
        </is>
      </c>
      <c r="B181" s="25" t="inlineStr">
        <is>
          <t>18:30</t>
        </is>
      </c>
      <c r="C181" s="6" t="inlineStr">
        <is>
          <t>18:45</t>
        </is>
      </c>
      <c r="D181" s="27" t="inlineStr">
        <is>
          <t>TT table</t>
        </is>
      </c>
      <c r="E181" s="27" t="inlineStr">
        <is>
          <t>TT Women's Doubles</t>
        </is>
      </c>
      <c r="F181" s="6" t="inlineStr">
        <is>
          <t>3rd Place</t>
        </is>
      </c>
      <c r="G181" s="29" t="inlineStr">
        <is>
          <t>TWD-3P-01</t>
        </is>
      </c>
      <c r="H181" s="30">
        <f>IF('TT WD'!F14="","Loser TWD-R1-01",'TT WD'!F14)</f>
        <v/>
      </c>
      <c r="I181" s="30">
        <f>IF('TT WD'!F15="","Loser TWD-R1-02",'TT WD'!F15)</f>
        <v/>
      </c>
    </row>
    <row r="182">
      <c r="A182" s="6" t="inlineStr">
        <is>
          <t>Mon 02 Nov</t>
        </is>
      </c>
      <c r="B182" s="25" t="inlineStr">
        <is>
          <t>18:48</t>
        </is>
      </c>
      <c r="C182" s="6" t="inlineStr">
        <is>
          <t>19:03</t>
        </is>
      </c>
      <c r="D182" s="27" t="inlineStr">
        <is>
          <t>TT table</t>
        </is>
      </c>
      <c r="E182" s="27" t="inlineStr">
        <is>
          <t>TT Men's Doubles</t>
        </is>
      </c>
      <c r="F182" s="6" t="inlineStr">
        <is>
          <t>3rd Place</t>
        </is>
      </c>
      <c r="G182" s="29" t="inlineStr">
        <is>
          <t>TMD-3P-01</t>
        </is>
      </c>
      <c r="H182" s="30">
        <f>IF('TT MD'!N26="","Loser TMD-R3-01",'TT MD'!N26)</f>
        <v/>
      </c>
      <c r="I182" s="30">
        <f>IF('TT MD'!N27="","Loser TMD-R3-02",'TT MD'!N27)</f>
        <v/>
      </c>
    </row>
    <row r="183">
      <c r="A183" s="6" t="inlineStr">
        <is>
          <t>Mon 02 Nov</t>
        </is>
      </c>
      <c r="B183" s="25" t="inlineStr">
        <is>
          <t>19:06</t>
        </is>
      </c>
      <c r="C183" s="6" t="inlineStr">
        <is>
          <t>19:18</t>
        </is>
      </c>
      <c r="D183" s="27" t="inlineStr">
        <is>
          <t>TT table</t>
        </is>
      </c>
      <c r="E183" s="27" t="inlineStr">
        <is>
          <t>TT Women's Singles</t>
        </is>
      </c>
      <c r="F183" s="6" t="inlineStr">
        <is>
          <t>Final</t>
        </is>
      </c>
      <c r="G183" s="29" t="inlineStr">
        <is>
          <t>TWS-R3-01</t>
        </is>
      </c>
      <c r="H183" s="30">
        <f>IF('TT WS'!J13="","Winner TWS-R2-01",'TT WS'!J13)</f>
        <v/>
      </c>
      <c r="I183" s="30">
        <f>IF('TT WS'!J14="","Winner TWS-R2-02",'TT WS'!J14)</f>
        <v/>
      </c>
    </row>
    <row r="184">
      <c r="A184" s="6" t="inlineStr">
        <is>
          <t>Mon 02 Nov</t>
        </is>
      </c>
      <c r="B184" s="25" t="inlineStr">
        <is>
          <t>19:21</t>
        </is>
      </c>
      <c r="C184" s="6" t="inlineStr">
        <is>
          <t>19:33</t>
        </is>
      </c>
      <c r="D184" s="27" t="inlineStr">
        <is>
          <t>TT table</t>
        </is>
      </c>
      <c r="E184" s="27" t="inlineStr">
        <is>
          <t>TT Men's Singles</t>
        </is>
      </c>
      <c r="F184" s="6" t="inlineStr">
        <is>
          <t>Final</t>
        </is>
      </c>
      <c r="G184" s="29" t="inlineStr">
        <is>
          <t>TMS-R5-01</t>
        </is>
      </c>
      <c r="H184" s="30">
        <f>IF('TT MS'!R33="","Winner TMS-R4-01",'TT MS'!R33)</f>
        <v/>
      </c>
      <c r="I184" s="30">
        <f>IF('TT MS'!R34="","Winner TMS-R4-02",'TT MS'!R34)</f>
        <v/>
      </c>
    </row>
    <row r="185">
      <c r="A185" s="6" t="inlineStr">
        <is>
          <t>Mon 02 Nov</t>
        </is>
      </c>
      <c r="B185" s="25" t="inlineStr">
        <is>
          <t>19:36</t>
        </is>
      </c>
      <c r="C185" s="6" t="inlineStr">
        <is>
          <t>19:51</t>
        </is>
      </c>
      <c r="D185" s="27" t="inlineStr">
        <is>
          <t>TT table</t>
        </is>
      </c>
      <c r="E185" s="27" t="inlineStr">
        <is>
          <t>TT Women's Doubles</t>
        </is>
      </c>
      <c r="F185" s="6" t="inlineStr">
        <is>
          <t>Final</t>
        </is>
      </c>
      <c r="G185" s="29" t="inlineStr">
        <is>
          <t>TWD-R2-01</t>
        </is>
      </c>
      <c r="H185" s="30">
        <f>IF('TT WD'!F9="","Winner TWD-R1-01",'TT WD'!F9)</f>
        <v/>
      </c>
      <c r="I185" s="30">
        <f>IF('TT WD'!F10="","Winner TWD-R1-02",'TT WD'!F10)</f>
        <v/>
      </c>
    </row>
    <row r="186">
      <c r="A186" s="6" t="inlineStr">
        <is>
          <t>Mon 02 Nov</t>
        </is>
      </c>
      <c r="B186" s="25" t="inlineStr">
        <is>
          <t>19:54</t>
        </is>
      </c>
      <c r="C186" s="6" t="inlineStr">
        <is>
          <t>20:09</t>
        </is>
      </c>
      <c r="D186" s="27" t="inlineStr">
        <is>
          <t>TT table</t>
        </is>
      </c>
      <c r="E186" s="27" t="inlineStr">
        <is>
          <t>TT Men's Doubles</t>
        </is>
      </c>
      <c r="F186" s="6" t="inlineStr">
        <is>
          <t>Final</t>
        </is>
      </c>
      <c r="G186" s="29" t="inlineStr">
        <is>
          <t>TMD-R4-01</t>
        </is>
      </c>
      <c r="H186" s="30">
        <f>IF('TT MD'!N21="","Winner TMD-R3-01",'TT MD'!N21)</f>
        <v/>
      </c>
      <c r="I186" s="30">
        <f>IF('TT MD'!N22="","Winner TMD-R3-02",'TT MD'!N22)</f>
        <v/>
      </c>
    </row>
    <row r="187">
      <c r="A187" s="28" t="inlineStr">
        <is>
          <t>Wednesday 04 November   ·   3 matches</t>
        </is>
      </c>
    </row>
    <row r="188">
      <c r="A188" s="6" t="inlineStr">
        <is>
          <t>Wed 04 Nov</t>
        </is>
      </c>
      <c r="B188" s="25" t="inlineStr">
        <is>
          <t>19:00</t>
        </is>
      </c>
      <c r="C188" s="6" t="inlineStr"/>
      <c r="D188" s="27" t="inlineStr">
        <is>
          <t>Cricket</t>
        </is>
      </c>
      <c r="E188" s="27" t="inlineStr">
        <is>
          <t>Cricket</t>
        </is>
      </c>
      <c r="F188" s="6" t="inlineStr">
        <is>
          <t>Semi-final</t>
        </is>
      </c>
      <c r="G188" s="29" t="inlineStr">
        <is>
          <t>C-SF-01</t>
        </is>
      </c>
      <c r="H188" s="30">
        <f>IF('Cricket'!O9="","Pool A winner",'Cricket'!O9)</f>
        <v/>
      </c>
      <c r="I188" s="30">
        <f>IF('Cricket'!O10="","Pool B runner-up",'Cricket'!O10)</f>
        <v/>
      </c>
    </row>
    <row r="189">
      <c r="A189" s="6" t="inlineStr">
        <is>
          <t>Wed 04 Nov</t>
        </is>
      </c>
      <c r="B189" s="25" t="inlineStr">
        <is>
          <t>follows</t>
        </is>
      </c>
      <c r="C189" s="6" t="inlineStr"/>
      <c r="D189" s="27" t="inlineStr">
        <is>
          <t>Cricket</t>
        </is>
      </c>
      <c r="E189" s="27" t="inlineStr">
        <is>
          <t>Cricket</t>
        </is>
      </c>
      <c r="F189" s="6" t="inlineStr">
        <is>
          <t>Semi-final</t>
        </is>
      </c>
      <c r="G189" s="29" t="inlineStr">
        <is>
          <t>C-SF-02</t>
        </is>
      </c>
      <c r="H189" s="30">
        <f>IF('Cricket'!O14="","Pool B winner",'Cricket'!O14)</f>
        <v/>
      </c>
      <c r="I189" s="30">
        <f>IF('Cricket'!O15="","Pool A runner-up",'Cricket'!O15)</f>
        <v/>
      </c>
    </row>
    <row r="190">
      <c r="A190" s="6" t="inlineStr">
        <is>
          <t>Wed 04 Nov</t>
        </is>
      </c>
      <c r="B190" s="25" t="inlineStr">
        <is>
          <t>follows</t>
        </is>
      </c>
      <c r="C190" s="6" t="inlineStr"/>
      <c r="D190" s="27" t="inlineStr">
        <is>
          <t>Cricket</t>
        </is>
      </c>
      <c r="E190" s="27" t="inlineStr">
        <is>
          <t>Cricket</t>
        </is>
      </c>
      <c r="F190" s="6" t="inlineStr">
        <is>
          <t>3rd Place</t>
        </is>
      </c>
      <c r="G190" s="29" t="inlineStr">
        <is>
          <t>C-3P-01</t>
        </is>
      </c>
      <c r="H190" s="30">
        <f>IF('Cricket'!T17="","Loser C-SF-01",'Cricket'!T17)</f>
        <v/>
      </c>
      <c r="I190" s="30">
        <f>IF('Cricket'!T18="","Loser C-SF-02",'Cricket'!T18)</f>
        <v/>
      </c>
    </row>
    <row r="191">
      <c r="A191" s="28" t="inlineStr">
        <is>
          <t>Thursday 05 November   ·   3 matches</t>
        </is>
      </c>
    </row>
    <row r="192">
      <c r="A192" s="6" t="inlineStr">
        <is>
          <t>Thu 05 Nov</t>
        </is>
      </c>
      <c r="B192" s="25" t="inlineStr">
        <is>
          <t>19:00</t>
        </is>
      </c>
      <c r="C192" s="6" t="inlineStr"/>
      <c r="D192" s="27" t="inlineStr">
        <is>
          <t>Football</t>
        </is>
      </c>
      <c r="E192" s="27" t="inlineStr">
        <is>
          <t>Football</t>
        </is>
      </c>
      <c r="F192" s="6" t="inlineStr">
        <is>
          <t>Semi-final</t>
        </is>
      </c>
      <c r="G192" s="29" t="inlineStr">
        <is>
          <t>F-SF-01</t>
        </is>
      </c>
      <c r="H192" s="30">
        <f>IF('Football'!O9="","Pool A winner",'Football'!O9)</f>
        <v/>
      </c>
      <c r="I192" s="30">
        <f>IF('Football'!O10="","Pool B runner-up",'Football'!O10)</f>
        <v/>
      </c>
    </row>
    <row r="193">
      <c r="A193" s="6" t="inlineStr">
        <is>
          <t>Thu 05 Nov</t>
        </is>
      </c>
      <c r="B193" s="25" t="inlineStr">
        <is>
          <t>follows</t>
        </is>
      </c>
      <c r="C193" s="6" t="inlineStr"/>
      <c r="D193" s="27" t="inlineStr">
        <is>
          <t>Football</t>
        </is>
      </c>
      <c r="E193" s="27" t="inlineStr">
        <is>
          <t>Football</t>
        </is>
      </c>
      <c r="F193" s="6" t="inlineStr">
        <is>
          <t>Semi-final</t>
        </is>
      </c>
      <c r="G193" s="29" t="inlineStr">
        <is>
          <t>F-SF-02</t>
        </is>
      </c>
      <c r="H193" s="30">
        <f>IF('Football'!O14="","Pool B winner",'Football'!O14)</f>
        <v/>
      </c>
      <c r="I193" s="30">
        <f>IF('Football'!O15="","Pool A runner-up",'Football'!O15)</f>
        <v/>
      </c>
    </row>
    <row r="194">
      <c r="A194" s="6" t="inlineStr">
        <is>
          <t>Thu 05 Nov</t>
        </is>
      </c>
      <c r="B194" s="25" t="inlineStr">
        <is>
          <t>follows</t>
        </is>
      </c>
      <c r="C194" s="6" t="inlineStr"/>
      <c r="D194" s="27" t="inlineStr">
        <is>
          <t>Football</t>
        </is>
      </c>
      <c r="E194" s="27" t="inlineStr">
        <is>
          <t>Football</t>
        </is>
      </c>
      <c r="F194" s="6" t="inlineStr">
        <is>
          <t>3rd Place</t>
        </is>
      </c>
      <c r="G194" s="29" t="inlineStr">
        <is>
          <t>F-3P-01</t>
        </is>
      </c>
      <c r="H194" s="30">
        <f>IF('Football'!T17="","Loser F-SF-01",'Football'!T17)</f>
        <v/>
      </c>
      <c r="I194" s="30">
        <f>IF('Football'!T18="","Loser F-SF-02",'Football'!T18)</f>
        <v/>
      </c>
    </row>
    <row r="195">
      <c r="A195" s="28" t="inlineStr">
        <is>
          <t>Friday 06 November  —  FINALS  —  Cricket &amp; Football   ·   2 matches</t>
        </is>
      </c>
    </row>
    <row r="196">
      <c r="A196" s="6" t="inlineStr">
        <is>
          <t>Fri 06 Nov</t>
        </is>
      </c>
      <c r="B196" s="25" t="inlineStr"/>
      <c r="C196" s="6" t="inlineStr"/>
      <c r="D196" s="27" t="inlineStr">
        <is>
          <t>Cricket</t>
        </is>
      </c>
      <c r="E196" s="27" t="inlineStr">
        <is>
          <t>Cricket</t>
        </is>
      </c>
      <c r="F196" s="6" t="inlineStr">
        <is>
          <t>Final</t>
        </is>
      </c>
      <c r="G196" s="29" t="inlineStr">
        <is>
          <t>C-F-01</t>
        </is>
      </c>
      <c r="H196" s="30">
        <f>IF('Cricket'!T11="","Winner C-SF-01",'Cricket'!T11)</f>
        <v/>
      </c>
      <c r="I196" s="30">
        <f>IF('Cricket'!T12="","Winner C-SF-02",'Cricket'!T12)</f>
        <v/>
      </c>
    </row>
    <row r="197">
      <c r="A197" s="6" t="inlineStr">
        <is>
          <t>Fri 06 Nov</t>
        </is>
      </c>
      <c r="B197" s="25" t="inlineStr"/>
      <c r="C197" s="6" t="inlineStr"/>
      <c r="D197" s="27" t="inlineStr">
        <is>
          <t>Football</t>
        </is>
      </c>
      <c r="E197" s="27" t="inlineStr">
        <is>
          <t>Football</t>
        </is>
      </c>
      <c r="F197" s="6" t="inlineStr">
        <is>
          <t>Final</t>
        </is>
      </c>
      <c r="G197" s="29" t="inlineStr">
        <is>
          <t>F-F-01</t>
        </is>
      </c>
      <c r="H197" s="30">
        <f>IF('Football'!T11="","Winner F-SF-01",'Football'!T11)</f>
        <v/>
      </c>
      <c r="I197" s="30">
        <f>IF('Football'!T12="","Winner F-SF-02",'Football'!T12)</f>
        <v/>
      </c>
    </row>
    <row r="199">
      <c r="A199" s="8" t="inlineStr">
        <is>
          <t>Clash rules (Chess, Carrom, TT, Badminton): a player never has two matches at once and gets at least 10 minutes between matches. For later rounds the schedule keeps clear of every player who could still reach that match, so no re-shuffling is needed as results come in.</t>
        </is>
      </c>
    </row>
    <row r="200">
      <c r="A200" s="8" t="inlineStr">
        <is>
          <t>Chess, Carrom &amp; TT: evenings 18:00–20:00, one carrom board, one TT table (3 min changeover); chess one round per evening, by phone up to the quarter-finals, in person from the semi-finals.</t>
        </is>
      </c>
    </row>
    <row r="201">
      <c r="A201" s="8" t="inlineStr">
        <is>
          <t>Finals evening (Mon 02 Nov) runs to about 20:10 (agreed) so all four TT 3rd place matches fit. If one person is in two finals at the same time, swap the order on the day.</t>
        </is>
      </c>
    </row>
    <row r="202">
      <c r="A202" s="8" t="inlineStr">
        <is>
          <t>Badminton (Sun 01 Nov): 2 courts, 15 min matches + 3 min changeover, lunch 13:00–14:00; 3rd place matches then finals end the day.</t>
        </is>
      </c>
    </row>
    <row r="203">
      <c r="A203" s="8" t="inlineStr">
        <is>
          <t>Cricket &amp; Football: first match each day at 19:00, the rest follow on. Both finals on Fri 06 Nov share the ground (date only). Pool days mix both pools so that no team plays back-to-back (same order for Cricket and Football).</t>
        </is>
      </c>
    </row>
    <row r="204">
      <c r="A204" s="8" t="inlineStr">
        <is>
          <t>Match lengths: Carrom 18 min, Chess 25 min, TT singles 12 min, TT doubles 15 min, Badminton 15 min.</t>
        </is>
      </c>
    </row>
  </sheetData>
  <mergeCells count="20">
    <mergeCell ref="A174:I174"/>
    <mergeCell ref="A108:I108"/>
    <mergeCell ref="A118:I118"/>
    <mergeCell ref="A55:I55"/>
    <mergeCell ref="A195:I195"/>
    <mergeCell ref="A2:I2"/>
    <mergeCell ref="A5:I5"/>
    <mergeCell ref="A126:I126"/>
    <mergeCell ref="A122:I122"/>
    <mergeCell ref="A100:I100"/>
    <mergeCell ref="A147:I147"/>
    <mergeCell ref="A72:I72"/>
    <mergeCell ref="A114:I114"/>
    <mergeCell ref="A34:I34"/>
    <mergeCell ref="A191:I191"/>
    <mergeCell ref="A73:I73"/>
    <mergeCell ref="A1:I1"/>
    <mergeCell ref="A110:I110"/>
    <mergeCell ref="A87:I87"/>
    <mergeCell ref="A187:I187"/>
  </mergeCell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 xmlns:r="http://schemas.openxmlformats.org/officeDocument/2006/relationships" ref="G12" r:id="rId7"/>
    <hyperlink xmlns:r="http://schemas.openxmlformats.org/officeDocument/2006/relationships" ref="G13" r:id="rId8"/>
    <hyperlink xmlns:r="http://schemas.openxmlformats.org/officeDocument/2006/relationships" ref="G14" r:id="rId9"/>
    <hyperlink xmlns:r="http://schemas.openxmlformats.org/officeDocument/2006/relationships" ref="G15" r:id="rId10"/>
    <hyperlink xmlns:r="http://schemas.openxmlformats.org/officeDocument/2006/relationships" ref="G16" r:id="rId11"/>
    <hyperlink xmlns:r="http://schemas.openxmlformats.org/officeDocument/2006/relationships" ref="G17" r:id="rId12"/>
    <hyperlink xmlns:r="http://schemas.openxmlformats.org/officeDocument/2006/relationships" ref="G18" r:id="rId13"/>
    <hyperlink xmlns:r="http://schemas.openxmlformats.org/officeDocument/2006/relationships" ref="G19" r:id="rId14"/>
    <hyperlink xmlns:r="http://schemas.openxmlformats.org/officeDocument/2006/relationships" ref="G20" r:id="rId15"/>
    <hyperlink xmlns:r="http://schemas.openxmlformats.org/officeDocument/2006/relationships" ref="G21"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6" r:id="rId21"/>
    <hyperlink xmlns:r="http://schemas.openxmlformats.org/officeDocument/2006/relationships" ref="G27" r:id="rId22"/>
    <hyperlink xmlns:r="http://schemas.openxmlformats.org/officeDocument/2006/relationships" ref="G28" r:id="rId23"/>
    <hyperlink xmlns:r="http://schemas.openxmlformats.org/officeDocument/2006/relationships" ref="G29" r:id="rId24"/>
    <hyperlink xmlns:r="http://schemas.openxmlformats.org/officeDocument/2006/relationships" ref="G30" r:id="rId25"/>
    <hyperlink xmlns:r="http://schemas.openxmlformats.org/officeDocument/2006/relationships" ref="G31" r:id="rId26"/>
    <hyperlink xmlns:r="http://schemas.openxmlformats.org/officeDocument/2006/relationships" ref="G32" r:id="rId27"/>
    <hyperlink xmlns:r="http://schemas.openxmlformats.org/officeDocument/2006/relationships" ref="G33" r:id="rId28"/>
    <hyperlink xmlns:r="http://schemas.openxmlformats.org/officeDocument/2006/relationships" ref="G35" r:id="rId29"/>
    <hyperlink xmlns:r="http://schemas.openxmlformats.org/officeDocument/2006/relationships" ref="G36" r:id="rId30"/>
    <hyperlink xmlns:r="http://schemas.openxmlformats.org/officeDocument/2006/relationships" ref="G37" r:id="rId31"/>
    <hyperlink xmlns:r="http://schemas.openxmlformats.org/officeDocument/2006/relationships" ref="G38" r:id="rId32"/>
    <hyperlink xmlns:r="http://schemas.openxmlformats.org/officeDocument/2006/relationships" ref="G39" r:id="rId33"/>
    <hyperlink xmlns:r="http://schemas.openxmlformats.org/officeDocument/2006/relationships" ref="G40" r:id="rId34"/>
    <hyperlink xmlns:r="http://schemas.openxmlformats.org/officeDocument/2006/relationships" ref="G41" r:id="rId35"/>
    <hyperlink xmlns:r="http://schemas.openxmlformats.org/officeDocument/2006/relationships" ref="G42" r:id="rId36"/>
    <hyperlink xmlns:r="http://schemas.openxmlformats.org/officeDocument/2006/relationships" ref="G43" r:id="rId37"/>
    <hyperlink xmlns:r="http://schemas.openxmlformats.org/officeDocument/2006/relationships" ref="G44" r:id="rId38"/>
    <hyperlink xmlns:r="http://schemas.openxmlformats.org/officeDocument/2006/relationships" ref="G45" r:id="rId39"/>
    <hyperlink xmlns:r="http://schemas.openxmlformats.org/officeDocument/2006/relationships" ref="G46" r:id="rId40"/>
    <hyperlink xmlns:r="http://schemas.openxmlformats.org/officeDocument/2006/relationships" ref="G47" r:id="rId41"/>
    <hyperlink xmlns:r="http://schemas.openxmlformats.org/officeDocument/2006/relationships" ref="G48" r:id="rId42"/>
    <hyperlink xmlns:r="http://schemas.openxmlformats.org/officeDocument/2006/relationships" ref="G49" r:id="rId43"/>
    <hyperlink xmlns:r="http://schemas.openxmlformats.org/officeDocument/2006/relationships" ref="G50" r:id="rId44"/>
    <hyperlink xmlns:r="http://schemas.openxmlformats.org/officeDocument/2006/relationships" ref="G51" r:id="rId45"/>
    <hyperlink xmlns:r="http://schemas.openxmlformats.org/officeDocument/2006/relationships" ref="G52" r:id="rId46"/>
    <hyperlink xmlns:r="http://schemas.openxmlformats.org/officeDocument/2006/relationships" ref="G53" r:id="rId47"/>
    <hyperlink xmlns:r="http://schemas.openxmlformats.org/officeDocument/2006/relationships" ref="G54" r:id="rId48"/>
    <hyperlink xmlns:r="http://schemas.openxmlformats.org/officeDocument/2006/relationships" ref="G56" r:id="rId49"/>
    <hyperlink xmlns:r="http://schemas.openxmlformats.org/officeDocument/2006/relationships" ref="G57" r:id="rId50"/>
    <hyperlink xmlns:r="http://schemas.openxmlformats.org/officeDocument/2006/relationships" ref="G58" r:id="rId51"/>
    <hyperlink xmlns:r="http://schemas.openxmlformats.org/officeDocument/2006/relationships" ref="G59" r:id="rId52"/>
    <hyperlink xmlns:r="http://schemas.openxmlformats.org/officeDocument/2006/relationships" ref="G60" r:id="rId53"/>
    <hyperlink xmlns:r="http://schemas.openxmlformats.org/officeDocument/2006/relationships" ref="G61" r:id="rId54"/>
    <hyperlink xmlns:r="http://schemas.openxmlformats.org/officeDocument/2006/relationships" ref="G62" r:id="rId55"/>
    <hyperlink xmlns:r="http://schemas.openxmlformats.org/officeDocument/2006/relationships" ref="G63" r:id="rId56"/>
    <hyperlink xmlns:r="http://schemas.openxmlformats.org/officeDocument/2006/relationships" ref="G64" r:id="rId57"/>
    <hyperlink xmlns:r="http://schemas.openxmlformats.org/officeDocument/2006/relationships" ref="G65" r:id="rId58"/>
    <hyperlink xmlns:r="http://schemas.openxmlformats.org/officeDocument/2006/relationships" ref="G66" r:id="rId59"/>
    <hyperlink xmlns:r="http://schemas.openxmlformats.org/officeDocument/2006/relationships" ref="G67" r:id="rId60"/>
    <hyperlink xmlns:r="http://schemas.openxmlformats.org/officeDocument/2006/relationships" ref="G68" r:id="rId61"/>
    <hyperlink xmlns:r="http://schemas.openxmlformats.org/officeDocument/2006/relationships" ref="G69" r:id="rId62"/>
    <hyperlink xmlns:r="http://schemas.openxmlformats.org/officeDocument/2006/relationships" ref="G70" r:id="rId63"/>
    <hyperlink xmlns:r="http://schemas.openxmlformats.org/officeDocument/2006/relationships" ref="G71" r:id="rId64"/>
    <hyperlink xmlns:r="http://schemas.openxmlformats.org/officeDocument/2006/relationships" ref="G74" r:id="rId65"/>
    <hyperlink xmlns:r="http://schemas.openxmlformats.org/officeDocument/2006/relationships" ref="G75" r:id="rId66"/>
    <hyperlink xmlns:r="http://schemas.openxmlformats.org/officeDocument/2006/relationships" ref="G76" r:id="rId67"/>
    <hyperlink xmlns:r="http://schemas.openxmlformats.org/officeDocument/2006/relationships" ref="G77" r:id="rId68"/>
    <hyperlink xmlns:r="http://schemas.openxmlformats.org/officeDocument/2006/relationships" ref="G78" r:id="rId69"/>
    <hyperlink xmlns:r="http://schemas.openxmlformats.org/officeDocument/2006/relationships" ref="G79" r:id="rId70"/>
    <hyperlink xmlns:r="http://schemas.openxmlformats.org/officeDocument/2006/relationships" ref="G80" r:id="rId71"/>
    <hyperlink xmlns:r="http://schemas.openxmlformats.org/officeDocument/2006/relationships" ref="G81" r:id="rId72"/>
    <hyperlink xmlns:r="http://schemas.openxmlformats.org/officeDocument/2006/relationships" ref="G82" r:id="rId73"/>
    <hyperlink xmlns:r="http://schemas.openxmlformats.org/officeDocument/2006/relationships" ref="G83" r:id="rId74"/>
    <hyperlink xmlns:r="http://schemas.openxmlformats.org/officeDocument/2006/relationships" ref="G84" r:id="rId75"/>
    <hyperlink xmlns:r="http://schemas.openxmlformats.org/officeDocument/2006/relationships" ref="G85" r:id="rId76"/>
    <hyperlink xmlns:r="http://schemas.openxmlformats.org/officeDocument/2006/relationships" ref="G86" r:id="rId77"/>
    <hyperlink xmlns:r="http://schemas.openxmlformats.org/officeDocument/2006/relationships" ref="G88" r:id="rId78"/>
    <hyperlink xmlns:r="http://schemas.openxmlformats.org/officeDocument/2006/relationships" ref="G89" r:id="rId79"/>
    <hyperlink xmlns:r="http://schemas.openxmlformats.org/officeDocument/2006/relationships" ref="G90" r:id="rId80"/>
    <hyperlink xmlns:r="http://schemas.openxmlformats.org/officeDocument/2006/relationships" ref="G91" r:id="rId81"/>
    <hyperlink xmlns:r="http://schemas.openxmlformats.org/officeDocument/2006/relationships" ref="G92" r:id="rId82"/>
    <hyperlink xmlns:r="http://schemas.openxmlformats.org/officeDocument/2006/relationships" ref="G93" r:id="rId83"/>
    <hyperlink xmlns:r="http://schemas.openxmlformats.org/officeDocument/2006/relationships" ref="G94" r:id="rId84"/>
    <hyperlink xmlns:r="http://schemas.openxmlformats.org/officeDocument/2006/relationships" ref="G95" r:id="rId85"/>
    <hyperlink xmlns:r="http://schemas.openxmlformats.org/officeDocument/2006/relationships" ref="G96" r:id="rId86"/>
    <hyperlink xmlns:r="http://schemas.openxmlformats.org/officeDocument/2006/relationships" ref="G97" r:id="rId87"/>
    <hyperlink xmlns:r="http://schemas.openxmlformats.org/officeDocument/2006/relationships" ref="G98" r:id="rId88"/>
    <hyperlink xmlns:r="http://schemas.openxmlformats.org/officeDocument/2006/relationships" ref="G99" r:id="rId89"/>
    <hyperlink xmlns:r="http://schemas.openxmlformats.org/officeDocument/2006/relationships" ref="G101" r:id="rId90"/>
    <hyperlink xmlns:r="http://schemas.openxmlformats.org/officeDocument/2006/relationships" ref="G102" r:id="rId91"/>
    <hyperlink xmlns:r="http://schemas.openxmlformats.org/officeDocument/2006/relationships" ref="G103" r:id="rId92"/>
    <hyperlink xmlns:r="http://schemas.openxmlformats.org/officeDocument/2006/relationships" ref="G104" r:id="rId93"/>
    <hyperlink xmlns:r="http://schemas.openxmlformats.org/officeDocument/2006/relationships" ref="G105" r:id="rId94"/>
    <hyperlink xmlns:r="http://schemas.openxmlformats.org/officeDocument/2006/relationships" ref="G106" r:id="rId95"/>
    <hyperlink xmlns:r="http://schemas.openxmlformats.org/officeDocument/2006/relationships" ref="G107" r:id="rId96"/>
    <hyperlink xmlns:r="http://schemas.openxmlformats.org/officeDocument/2006/relationships" ref="G109" r:id="rId97"/>
    <hyperlink xmlns:r="http://schemas.openxmlformats.org/officeDocument/2006/relationships" ref="G111" r:id="rId98"/>
    <hyperlink xmlns:r="http://schemas.openxmlformats.org/officeDocument/2006/relationships" ref="G112" r:id="rId99"/>
    <hyperlink xmlns:r="http://schemas.openxmlformats.org/officeDocument/2006/relationships" ref="G113" r:id="rId100"/>
    <hyperlink xmlns:r="http://schemas.openxmlformats.org/officeDocument/2006/relationships" ref="G115" r:id="rId101"/>
    <hyperlink xmlns:r="http://schemas.openxmlformats.org/officeDocument/2006/relationships" ref="G116" r:id="rId102"/>
    <hyperlink xmlns:r="http://schemas.openxmlformats.org/officeDocument/2006/relationships" ref="G117" r:id="rId103"/>
    <hyperlink xmlns:r="http://schemas.openxmlformats.org/officeDocument/2006/relationships" ref="G119" r:id="rId104"/>
    <hyperlink xmlns:r="http://schemas.openxmlformats.org/officeDocument/2006/relationships" ref="G120" r:id="rId105"/>
    <hyperlink xmlns:r="http://schemas.openxmlformats.org/officeDocument/2006/relationships" ref="G121" r:id="rId106"/>
    <hyperlink xmlns:r="http://schemas.openxmlformats.org/officeDocument/2006/relationships" ref="G123" r:id="rId107"/>
    <hyperlink xmlns:r="http://schemas.openxmlformats.org/officeDocument/2006/relationships" ref="G124" r:id="rId108"/>
    <hyperlink xmlns:r="http://schemas.openxmlformats.org/officeDocument/2006/relationships" ref="G125" r:id="rId109"/>
    <hyperlink xmlns:r="http://schemas.openxmlformats.org/officeDocument/2006/relationships" ref="G127" r:id="rId110"/>
    <hyperlink xmlns:r="http://schemas.openxmlformats.org/officeDocument/2006/relationships" ref="G128" r:id="rId111"/>
    <hyperlink xmlns:r="http://schemas.openxmlformats.org/officeDocument/2006/relationships" ref="G129" r:id="rId112"/>
    <hyperlink xmlns:r="http://schemas.openxmlformats.org/officeDocument/2006/relationships" ref="G130" r:id="rId113"/>
    <hyperlink xmlns:r="http://schemas.openxmlformats.org/officeDocument/2006/relationships" ref="G131" r:id="rId114"/>
    <hyperlink xmlns:r="http://schemas.openxmlformats.org/officeDocument/2006/relationships" ref="G132" r:id="rId115"/>
    <hyperlink xmlns:r="http://schemas.openxmlformats.org/officeDocument/2006/relationships" ref="G133" r:id="rId116"/>
    <hyperlink xmlns:r="http://schemas.openxmlformats.org/officeDocument/2006/relationships" ref="G134" r:id="rId117"/>
    <hyperlink xmlns:r="http://schemas.openxmlformats.org/officeDocument/2006/relationships" ref="G135" r:id="rId118"/>
    <hyperlink xmlns:r="http://schemas.openxmlformats.org/officeDocument/2006/relationships" ref="G136" r:id="rId119"/>
    <hyperlink xmlns:r="http://schemas.openxmlformats.org/officeDocument/2006/relationships" ref="G137" r:id="rId120"/>
    <hyperlink xmlns:r="http://schemas.openxmlformats.org/officeDocument/2006/relationships" ref="G138" r:id="rId121"/>
    <hyperlink xmlns:r="http://schemas.openxmlformats.org/officeDocument/2006/relationships" ref="G139" r:id="rId122"/>
    <hyperlink xmlns:r="http://schemas.openxmlformats.org/officeDocument/2006/relationships" ref="G140" r:id="rId123"/>
    <hyperlink xmlns:r="http://schemas.openxmlformats.org/officeDocument/2006/relationships" ref="G141" r:id="rId124"/>
    <hyperlink xmlns:r="http://schemas.openxmlformats.org/officeDocument/2006/relationships" ref="G142" r:id="rId125"/>
    <hyperlink xmlns:r="http://schemas.openxmlformats.org/officeDocument/2006/relationships" ref="G143" r:id="rId126"/>
    <hyperlink xmlns:r="http://schemas.openxmlformats.org/officeDocument/2006/relationships" ref="G144" r:id="rId127"/>
    <hyperlink xmlns:r="http://schemas.openxmlformats.org/officeDocument/2006/relationships" ref="G145" r:id="rId128"/>
    <hyperlink xmlns:r="http://schemas.openxmlformats.org/officeDocument/2006/relationships" ref="G146" r:id="rId129"/>
    <hyperlink xmlns:r="http://schemas.openxmlformats.org/officeDocument/2006/relationships" ref="G148" r:id="rId130"/>
    <hyperlink xmlns:r="http://schemas.openxmlformats.org/officeDocument/2006/relationships" ref="G149" r:id="rId131"/>
    <hyperlink xmlns:r="http://schemas.openxmlformats.org/officeDocument/2006/relationships" ref="G150" r:id="rId132"/>
    <hyperlink xmlns:r="http://schemas.openxmlformats.org/officeDocument/2006/relationships" ref="G151" r:id="rId133"/>
    <hyperlink xmlns:r="http://schemas.openxmlformats.org/officeDocument/2006/relationships" ref="G152" r:id="rId134"/>
    <hyperlink xmlns:r="http://schemas.openxmlformats.org/officeDocument/2006/relationships" ref="G153" r:id="rId135"/>
    <hyperlink xmlns:r="http://schemas.openxmlformats.org/officeDocument/2006/relationships" ref="G154" r:id="rId136"/>
    <hyperlink xmlns:r="http://schemas.openxmlformats.org/officeDocument/2006/relationships" ref="G155" r:id="rId137"/>
    <hyperlink xmlns:r="http://schemas.openxmlformats.org/officeDocument/2006/relationships" ref="G156" r:id="rId138"/>
    <hyperlink xmlns:r="http://schemas.openxmlformats.org/officeDocument/2006/relationships" ref="G157" r:id="rId139"/>
    <hyperlink xmlns:r="http://schemas.openxmlformats.org/officeDocument/2006/relationships" ref="G158" r:id="rId140"/>
    <hyperlink xmlns:r="http://schemas.openxmlformats.org/officeDocument/2006/relationships" ref="G159" r:id="rId141"/>
    <hyperlink xmlns:r="http://schemas.openxmlformats.org/officeDocument/2006/relationships" ref="G160" r:id="rId142"/>
    <hyperlink xmlns:r="http://schemas.openxmlformats.org/officeDocument/2006/relationships" ref="G161" r:id="rId143"/>
    <hyperlink xmlns:r="http://schemas.openxmlformats.org/officeDocument/2006/relationships" ref="G162" r:id="rId144"/>
    <hyperlink xmlns:r="http://schemas.openxmlformats.org/officeDocument/2006/relationships" ref="G163" r:id="rId145"/>
    <hyperlink xmlns:r="http://schemas.openxmlformats.org/officeDocument/2006/relationships" ref="G164" r:id="rId146"/>
    <hyperlink xmlns:r="http://schemas.openxmlformats.org/officeDocument/2006/relationships" ref="G165" r:id="rId147"/>
    <hyperlink xmlns:r="http://schemas.openxmlformats.org/officeDocument/2006/relationships" ref="G166" r:id="rId148"/>
    <hyperlink xmlns:r="http://schemas.openxmlformats.org/officeDocument/2006/relationships" ref="G167" r:id="rId149"/>
    <hyperlink xmlns:r="http://schemas.openxmlformats.org/officeDocument/2006/relationships" ref="G168" r:id="rId150"/>
    <hyperlink xmlns:r="http://schemas.openxmlformats.org/officeDocument/2006/relationships" ref="G169" r:id="rId151"/>
    <hyperlink xmlns:r="http://schemas.openxmlformats.org/officeDocument/2006/relationships" ref="G170" r:id="rId152"/>
    <hyperlink xmlns:r="http://schemas.openxmlformats.org/officeDocument/2006/relationships" ref="G171" r:id="rId153"/>
    <hyperlink xmlns:r="http://schemas.openxmlformats.org/officeDocument/2006/relationships" ref="G172" r:id="rId154"/>
    <hyperlink xmlns:r="http://schemas.openxmlformats.org/officeDocument/2006/relationships" ref="G173" r:id="rId155"/>
    <hyperlink xmlns:r="http://schemas.openxmlformats.org/officeDocument/2006/relationships" ref="G175" r:id="rId156"/>
    <hyperlink xmlns:r="http://schemas.openxmlformats.org/officeDocument/2006/relationships" ref="G176" r:id="rId157"/>
    <hyperlink xmlns:r="http://schemas.openxmlformats.org/officeDocument/2006/relationships" ref="G177" r:id="rId158"/>
    <hyperlink xmlns:r="http://schemas.openxmlformats.org/officeDocument/2006/relationships" ref="G178" r:id="rId159"/>
    <hyperlink xmlns:r="http://schemas.openxmlformats.org/officeDocument/2006/relationships" ref="G179" r:id="rId160"/>
    <hyperlink xmlns:r="http://schemas.openxmlformats.org/officeDocument/2006/relationships" ref="G180" r:id="rId161"/>
    <hyperlink xmlns:r="http://schemas.openxmlformats.org/officeDocument/2006/relationships" ref="G181" r:id="rId162"/>
    <hyperlink xmlns:r="http://schemas.openxmlformats.org/officeDocument/2006/relationships" ref="G182" r:id="rId163"/>
    <hyperlink xmlns:r="http://schemas.openxmlformats.org/officeDocument/2006/relationships" ref="G183" r:id="rId164"/>
    <hyperlink xmlns:r="http://schemas.openxmlformats.org/officeDocument/2006/relationships" ref="G184" r:id="rId165"/>
    <hyperlink xmlns:r="http://schemas.openxmlformats.org/officeDocument/2006/relationships" ref="G185" r:id="rId166"/>
    <hyperlink xmlns:r="http://schemas.openxmlformats.org/officeDocument/2006/relationships" ref="G186" r:id="rId167"/>
    <hyperlink xmlns:r="http://schemas.openxmlformats.org/officeDocument/2006/relationships" ref="G188" r:id="rId168"/>
    <hyperlink xmlns:r="http://schemas.openxmlformats.org/officeDocument/2006/relationships" ref="G189" r:id="rId169"/>
    <hyperlink xmlns:r="http://schemas.openxmlformats.org/officeDocument/2006/relationships" ref="G190" r:id="rId170"/>
    <hyperlink xmlns:r="http://schemas.openxmlformats.org/officeDocument/2006/relationships" ref="G192" r:id="rId171"/>
    <hyperlink xmlns:r="http://schemas.openxmlformats.org/officeDocument/2006/relationships" ref="G193" r:id="rId172"/>
    <hyperlink xmlns:r="http://schemas.openxmlformats.org/officeDocument/2006/relationships" ref="G194" r:id="rId173"/>
    <hyperlink xmlns:r="http://schemas.openxmlformats.org/officeDocument/2006/relationships" ref="G196" r:id="rId174"/>
    <hyperlink xmlns:r="http://schemas.openxmlformats.org/officeDocument/2006/relationships" ref="G197" r:id="rId17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68"/>
  <sheetViews>
    <sheetView showGridLines="0" workbookViewId="0">
      <pane ySplit="5" topLeftCell="A6" activePane="bottomLeft" state="frozen"/>
      <selection pane="bottomLeft" activeCell="A1" sqref="A1"/>
    </sheetView>
  </sheetViews>
  <sheetFormatPr baseColWidth="8" defaultRowHeight="15"/>
  <cols>
    <col width="12" customWidth="1" min="1" max="1"/>
    <col width="22" customWidth="1" min="2" max="2"/>
    <col width="2.5" customWidth="1" min="3" max="3"/>
    <col width="2.5" customWidth="1" min="4" max="4"/>
    <col width="12" customWidth="1" min="5" max="5"/>
    <col width="22" customWidth="1" min="6" max="6"/>
    <col width="2.5" customWidth="1" min="7" max="7"/>
    <col width="2.5" customWidth="1" min="8" max="8"/>
    <col width="12" customWidth="1" min="9" max="9"/>
    <col width="22" customWidth="1" min="10" max="10"/>
    <col width="2.5" customWidth="1" min="11" max="11"/>
    <col width="2.5" customWidth="1" min="12" max="12"/>
    <col width="12" customWidth="1" min="13" max="13"/>
    <col width="22" customWidth="1" min="14" max="14"/>
    <col width="2.5" customWidth="1" min="15" max="15"/>
    <col width="2.5" customWidth="1" min="16" max="16"/>
    <col width="12" customWidth="1" min="17" max="17"/>
    <col width="22" customWidth="1" min="18" max="18"/>
    <col width="2.5" customWidth="1" min="19" max="19"/>
    <col width="2.5" customWidth="1" min="20" max="20"/>
    <col width="12" customWidth="1" min="21" max="21"/>
    <col width="22" customWidth="1" min="22" max="22"/>
    <col width="2.5" customWidth="1" min="23" max="23"/>
    <col width="2.5" customWidth="1" min="24" max="24"/>
  </cols>
  <sheetData>
    <row r="1" ht="30" customHeight="1">
      <c r="A1" s="1" t="inlineStr">
        <is>
          <t>Chess — Knockout Bracket   (31 entries)</t>
        </is>
      </c>
    </row>
    <row r="2">
      <c r="A2" s="2" t="inlineStr">
        <is>
          <t>Random draw, teammates kept apart in their first match.   Grey team cell = bye (starts in Round 2).</t>
        </is>
      </c>
    </row>
    <row r="4" ht="20" customHeight="1">
      <c r="A4" s="34" t="inlineStr">
        <is>
          <t>Round 1</t>
        </is>
      </c>
      <c r="E4" s="34" t="inlineStr">
        <is>
          <t>Round 2</t>
        </is>
      </c>
      <c r="I4" s="34" t="inlineStr">
        <is>
          <t>Quarter-finals</t>
        </is>
      </c>
      <c r="M4" s="34" t="inlineStr">
        <is>
          <t>Semi-finals</t>
        </is>
      </c>
      <c r="Q4" s="34" t="inlineStr">
        <is>
          <t>Final</t>
        </is>
      </c>
      <c r="U4" s="34" t="inlineStr">
        <is>
          <t>Champion</t>
        </is>
      </c>
    </row>
    <row r="5">
      <c r="A5" s="35" t="inlineStr">
        <is>
          <t>Thu 15 Oct  ·  15 matches</t>
        </is>
      </c>
      <c r="E5" s="35" t="inlineStr">
        <is>
          <t>Fri 16 Oct  ·  8 matches</t>
        </is>
      </c>
      <c r="I5" s="35" t="inlineStr">
        <is>
          <t>Mon 19 Oct  ·  4 matches</t>
        </is>
      </c>
      <c r="M5" s="35" t="inlineStr">
        <is>
          <t>Wed 21 Oct – Thu 22 Oct  ·  2 matches</t>
        </is>
      </c>
      <c r="Q5" s="35" t="inlineStr">
        <is>
          <t>Mon 02 Nov  ·  1 match</t>
        </is>
      </c>
    </row>
    <row r="6" ht="17" customHeight="1">
      <c r="A6" s="36" t="inlineStr">
        <is>
          <t>CH-R1-01   ·   Thu 15 Oct   ·   18:00</t>
        </is>
      </c>
      <c r="B6" s="37" t="n"/>
    </row>
    <row r="7" ht="17" customHeight="1">
      <c r="A7" s="38" t="inlineStr">
        <is>
          <t>Team 6</t>
        </is>
      </c>
      <c r="B7" s="39" t="inlineStr">
        <is>
          <t>Hrishikesh</t>
        </is>
      </c>
      <c r="C7" s="40" t="n"/>
    </row>
    <row r="8" ht="17" customHeight="1">
      <c r="A8" s="41" t="inlineStr">
        <is>
          <t>Team 1</t>
        </is>
      </c>
      <c r="B8" s="42" t="inlineStr">
        <is>
          <t>Solomon</t>
        </is>
      </c>
      <c r="C8" s="43" t="n"/>
      <c r="E8" s="36" t="inlineStr">
        <is>
          <t>CH-R2-01   ·   Fri 16 Oct   ·   18:00</t>
        </is>
      </c>
      <c r="F8" s="37" t="n"/>
    </row>
    <row r="9" ht="17" customHeight="1">
      <c r="C9" s="43" t="n"/>
      <c r="E9" s="44" t="inlineStr">
        <is>
          <t>Team 2</t>
        </is>
      </c>
      <c r="F9" s="39" t="inlineStr">
        <is>
          <t>Sainal</t>
        </is>
      </c>
      <c r="G9" s="40" t="n"/>
    </row>
    <row r="10" ht="17" customHeight="1">
      <c r="D10" s="45" t="n"/>
      <c r="E10" s="41">
        <f>IF(F10="","W CH-R1-01",IF(F10=B7,A7&amp;"",IF(F10=B8,A8&amp;"","W CH-R1-01")))</f>
        <v/>
      </c>
      <c r="F10" s="46" t="n"/>
      <c r="G10" s="43" t="n"/>
    </row>
    <row r="11" ht="17" customHeight="1">
      <c r="G11" s="43" t="n"/>
    </row>
    <row r="12" ht="17" customHeight="1">
      <c r="G12" s="43" t="n"/>
      <c r="I12" s="36" t="inlineStr">
        <is>
          <t>CH-R3-01   ·   Mon 19 Oct   ·   18:28</t>
        </is>
      </c>
      <c r="J12" s="37" t="n"/>
    </row>
    <row r="13" ht="17" customHeight="1">
      <c r="H13" s="45" t="n"/>
      <c r="I13" s="38">
        <f>IF(J13="","W CH-R2-01",IF(J13=F9,E9&amp;"",IF(J13=F10,E10&amp;"","W CH-R2-01")))</f>
        <v/>
      </c>
      <c r="J13" s="47" t="n"/>
      <c r="K13" s="40" t="n"/>
    </row>
    <row r="14" ht="17" customHeight="1">
      <c r="A14" s="36" t="inlineStr">
        <is>
          <t>CH-R1-02   ·   Thu 15 Oct   ·   18:00</t>
        </is>
      </c>
      <c r="B14" s="37" t="n"/>
      <c r="G14" s="43" t="n"/>
      <c r="H14" s="45" t="n"/>
      <c r="I14" s="41">
        <f>IF(J14="","W CH-R2-02",IF(J14=F17,E17&amp;"",IF(J14=F18,E18&amp;"","W CH-R2-02")))</f>
        <v/>
      </c>
      <c r="J14" s="46" t="n"/>
      <c r="K14" s="43" t="n"/>
    </row>
    <row r="15" ht="17" customHeight="1">
      <c r="A15" s="38" t="inlineStr">
        <is>
          <t>Team 2</t>
        </is>
      </c>
      <c r="B15" s="39" t="inlineStr">
        <is>
          <t>Shijil</t>
        </is>
      </c>
      <c r="C15" s="40" t="n"/>
      <c r="G15" s="43" t="n"/>
      <c r="K15" s="43" t="n"/>
    </row>
    <row r="16" ht="17" customHeight="1">
      <c r="A16" s="41" t="inlineStr">
        <is>
          <t>Team 3</t>
        </is>
      </c>
      <c r="B16" s="42" t="inlineStr">
        <is>
          <t>Anan</t>
        </is>
      </c>
      <c r="C16" s="43" t="n"/>
      <c r="E16" s="36" t="inlineStr">
        <is>
          <t>CH-R2-02   ·   Fri 16 Oct   ·   18:00</t>
        </is>
      </c>
      <c r="F16" s="37" t="n"/>
      <c r="G16" s="43" t="n"/>
      <c r="K16" s="43" t="n"/>
    </row>
    <row r="17" ht="17" customHeight="1">
      <c r="D17" s="45" t="n"/>
      <c r="E17" s="38">
        <f>IF(F17="","W CH-R1-02",IF(F17=B15,A15&amp;"",IF(F17=B16,A16&amp;"","W CH-R1-02")))</f>
        <v/>
      </c>
      <c r="F17" s="47" t="n"/>
      <c r="G17" s="48" t="n"/>
      <c r="K17" s="43" t="n"/>
    </row>
    <row r="18" ht="17" customHeight="1">
      <c r="A18" s="36" t="inlineStr">
        <is>
          <t>CH-R1-03   ·   Thu 15 Oct   ·   18:00</t>
        </is>
      </c>
      <c r="B18" s="37" t="n"/>
      <c r="C18" s="43" t="n"/>
      <c r="D18" s="45" t="n"/>
      <c r="E18" s="41">
        <f>IF(F18="","W CH-R1-03",IF(F18=B19,A19&amp;"",IF(F18=B20,A20&amp;"","W CH-R1-03")))</f>
        <v/>
      </c>
      <c r="F18" s="46" t="n"/>
      <c r="K18" s="43" t="n"/>
    </row>
    <row r="19" ht="17" customHeight="1">
      <c r="A19" s="38" t="inlineStr">
        <is>
          <t>Team 1</t>
        </is>
      </c>
      <c r="B19" s="39" t="inlineStr">
        <is>
          <t>Nivya Mathew</t>
        </is>
      </c>
      <c r="C19" s="48" t="n"/>
      <c r="K19" s="43" t="n"/>
    </row>
    <row r="20" ht="17" customHeight="1">
      <c r="A20" s="41" t="inlineStr">
        <is>
          <t>Team 4</t>
        </is>
      </c>
      <c r="B20" s="42" t="inlineStr">
        <is>
          <t>Samin</t>
        </is>
      </c>
      <c r="K20" s="43" t="n"/>
      <c r="M20" s="36" t="inlineStr">
        <is>
          <t>CH-R4-01   ·   Wed 21 Oct   ·   18:28</t>
        </is>
      </c>
      <c r="N20" s="37" t="n"/>
    </row>
    <row r="21" ht="17" customHeight="1">
      <c r="L21" s="45" t="n"/>
      <c r="M21" s="38">
        <f>IF(N21="","W CH-R3-01",IF(N21=J13,I13&amp;"",IF(N21=J14,I14&amp;"","W CH-R3-01")))</f>
        <v/>
      </c>
      <c r="N21" s="47" t="n"/>
      <c r="O21" s="40" t="n"/>
    </row>
    <row r="22" ht="17" customHeight="1">
      <c r="A22" s="36" t="inlineStr">
        <is>
          <t>CH-R1-04   ·   Thu 15 Oct   ·   18:00</t>
        </is>
      </c>
      <c r="B22" s="37" t="n"/>
      <c r="K22" s="43" t="n"/>
      <c r="L22" s="45" t="n"/>
      <c r="M22" s="41">
        <f>IF(N22="","W CH-R3-02",IF(N22=J29,I29&amp;"",IF(N22=J30,I30&amp;"","W CH-R3-02")))</f>
        <v/>
      </c>
      <c r="N22" s="46" t="n"/>
      <c r="O22" s="43" t="n"/>
    </row>
    <row r="23" ht="17" customHeight="1">
      <c r="A23" s="38" t="inlineStr">
        <is>
          <t>Team 2</t>
        </is>
      </c>
      <c r="B23" s="39" t="inlineStr">
        <is>
          <t>Sravan</t>
        </is>
      </c>
      <c r="C23" s="40" t="n"/>
      <c r="K23" s="43" t="n"/>
      <c r="O23" s="43" t="n"/>
    </row>
    <row r="24" ht="17" customHeight="1">
      <c r="A24" s="41" t="inlineStr">
        <is>
          <t>Team 5</t>
        </is>
      </c>
      <c r="B24" s="42" t="inlineStr">
        <is>
          <t>Mary Metilda</t>
        </is>
      </c>
      <c r="C24" s="43" t="n"/>
      <c r="E24" s="36" t="inlineStr">
        <is>
          <t>CH-R2-03   ·   Fri 16 Oct   ·   18:00</t>
        </is>
      </c>
      <c r="F24" s="37" t="n"/>
      <c r="K24" s="43" t="n"/>
      <c r="O24" s="43" t="n"/>
    </row>
    <row r="25" ht="17" customHeight="1">
      <c r="D25" s="45" t="n"/>
      <c r="E25" s="38">
        <f>IF(F25="","W CH-R1-04",IF(F25=B23,A23&amp;"",IF(F25=B24,A24&amp;"","W CH-R1-04")))</f>
        <v/>
      </c>
      <c r="F25" s="47" t="n"/>
      <c r="G25" s="40" t="n"/>
      <c r="K25" s="43" t="n"/>
      <c r="O25" s="43" t="n"/>
    </row>
    <row r="26" ht="17" customHeight="1">
      <c r="A26" s="36" t="inlineStr">
        <is>
          <t>CH-R1-05   ·   Thu 15 Oct   ·   18:00</t>
        </is>
      </c>
      <c r="B26" s="37" t="n"/>
      <c r="C26" s="43" t="n"/>
      <c r="D26" s="45" t="n"/>
      <c r="E26" s="41">
        <f>IF(F26="","W CH-R1-05",IF(F26=B27,A27&amp;"",IF(F26=B28,A28&amp;"","W CH-R1-05")))</f>
        <v/>
      </c>
      <c r="F26" s="46" t="n"/>
      <c r="G26" s="43" t="n"/>
      <c r="K26" s="43" t="n"/>
      <c r="O26" s="43" t="n"/>
    </row>
    <row r="27" ht="17" customHeight="1">
      <c r="A27" s="38" t="inlineStr">
        <is>
          <t>Team 6</t>
        </is>
      </c>
      <c r="B27" s="39" t="inlineStr">
        <is>
          <t>Akshaya</t>
        </is>
      </c>
      <c r="C27" s="48" t="n"/>
      <c r="G27" s="43" t="n"/>
      <c r="K27" s="43" t="n"/>
      <c r="O27" s="43" t="n"/>
    </row>
    <row r="28" ht="17" customHeight="1">
      <c r="A28" s="41" t="inlineStr">
        <is>
          <t>Team 5</t>
        </is>
      </c>
      <c r="B28" s="42" t="inlineStr">
        <is>
          <t>Bhadresh Das</t>
        </is>
      </c>
      <c r="G28" s="43" t="n"/>
      <c r="I28" s="36" t="inlineStr">
        <is>
          <t>CH-R3-02   ·   Mon 19 Oct   ·   18:25</t>
        </is>
      </c>
      <c r="J28" s="37" t="n"/>
      <c r="K28" s="43" t="n"/>
      <c r="O28" s="43" t="n"/>
    </row>
    <row r="29" ht="17" customHeight="1">
      <c r="H29" s="45" t="n"/>
      <c r="I29" s="38">
        <f>IF(J29="","W CH-R2-03",IF(J29=F25,E25&amp;"",IF(J29=F26,E26&amp;"","W CH-R2-03")))</f>
        <v/>
      </c>
      <c r="J29" s="47" t="n"/>
      <c r="K29" s="48" t="n"/>
      <c r="O29" s="43" t="n"/>
    </row>
    <row r="30" ht="17" customHeight="1">
      <c r="A30" s="36" t="inlineStr">
        <is>
          <t>CH-R1-06   ·   Thu 15 Oct   ·   18:00</t>
        </is>
      </c>
      <c r="B30" s="37" t="n"/>
      <c r="G30" s="43" t="n"/>
      <c r="H30" s="45" t="n"/>
      <c r="I30" s="41">
        <f>IF(J30="","W CH-R2-04",IF(J30=F33,E33&amp;"",IF(J30=F34,E34&amp;"","W CH-R2-04")))</f>
        <v/>
      </c>
      <c r="J30" s="46" t="n"/>
      <c r="O30" s="43" t="n"/>
    </row>
    <row r="31" ht="17" customHeight="1">
      <c r="A31" s="38" t="inlineStr">
        <is>
          <t>Team 4</t>
        </is>
      </c>
      <c r="B31" s="39" t="inlineStr">
        <is>
          <t>Gautham</t>
        </is>
      </c>
      <c r="C31" s="40" t="n"/>
      <c r="G31" s="43" t="n"/>
      <c r="O31" s="43" t="n"/>
    </row>
    <row r="32" ht="17" customHeight="1">
      <c r="A32" s="41" t="inlineStr">
        <is>
          <t>Team 5</t>
        </is>
      </c>
      <c r="B32" s="42" t="inlineStr">
        <is>
          <t>Nidheesh P V</t>
        </is>
      </c>
      <c r="C32" s="43" t="n"/>
      <c r="E32" s="36" t="inlineStr">
        <is>
          <t>CH-R2-04   ·   Fri 16 Oct   ·   18:00</t>
        </is>
      </c>
      <c r="F32" s="37" t="n"/>
      <c r="G32" s="43" t="n"/>
      <c r="O32" s="43" t="n"/>
    </row>
    <row r="33" ht="17" customHeight="1">
      <c r="D33" s="45" t="n"/>
      <c r="E33" s="38">
        <f>IF(F33="","W CH-R1-06",IF(F33=B31,A31&amp;"",IF(F33=B32,A32&amp;"","W CH-R1-06")))</f>
        <v/>
      </c>
      <c r="F33" s="47" t="n"/>
      <c r="G33" s="48" t="n"/>
      <c r="O33" s="43" t="n"/>
    </row>
    <row r="34" ht="17" customHeight="1">
      <c r="A34" s="36" t="inlineStr">
        <is>
          <t>CH-R1-07   ·   Thu 15 Oct   ·   18:00</t>
        </is>
      </c>
      <c r="B34" s="37" t="n"/>
      <c r="C34" s="43" t="n"/>
      <c r="D34" s="45" t="n"/>
      <c r="E34" s="41">
        <f>IF(F34="","W CH-R1-07",IF(F34=B35,A35&amp;"",IF(F34=B36,A36&amp;"","W CH-R1-07")))</f>
        <v/>
      </c>
      <c r="F34" s="46" t="n"/>
      <c r="O34" s="43" t="n"/>
    </row>
    <row r="35" ht="17" customHeight="1">
      <c r="A35" s="38" t="inlineStr">
        <is>
          <t>Team 3</t>
        </is>
      </c>
      <c r="B35" s="39" t="inlineStr">
        <is>
          <t>Nived</t>
        </is>
      </c>
      <c r="C35" s="48" t="n"/>
      <c r="O35" s="43" t="n"/>
    </row>
    <row r="36" ht="17" customHeight="1">
      <c r="A36" s="41" t="inlineStr">
        <is>
          <t>Team 2</t>
        </is>
      </c>
      <c r="B36" s="42" t="inlineStr">
        <is>
          <t>Bonny</t>
        </is>
      </c>
      <c r="O36" s="43" t="n"/>
      <c r="Q36" s="36" t="inlineStr">
        <is>
          <t>CH-R5-01   ·   Mon 02 Nov   ·   18:00</t>
        </is>
      </c>
      <c r="R36" s="37" t="n"/>
      <c r="U36" s="49" t="inlineStr">
        <is>
          <t>🏆 CHAMPION</t>
        </is>
      </c>
    </row>
    <row r="37" ht="17" customHeight="1">
      <c r="P37" s="45" t="n"/>
      <c r="Q37" s="38">
        <f>IF(R37="","W CH-R4-01",IF(R37=N21,M21&amp;"",IF(R37=N22,M22&amp;"","W CH-R4-01")))</f>
        <v/>
      </c>
      <c r="R37" s="47" t="n"/>
      <c r="S37" s="50" t="n"/>
      <c r="T37" s="50" t="n"/>
      <c r="U37" s="51">
        <f>IF(V37="","W CH-R5-01",IF(V37=R37,Q37&amp;"",IF(V37=R38,Q38&amp;"","W CH-R5-01")))</f>
        <v/>
      </c>
      <c r="V37" s="52" t="n"/>
    </row>
    <row r="38" ht="17" customHeight="1">
      <c r="A38" s="36" t="inlineStr">
        <is>
          <t>CH-R1-08   ·   Thu 15 Oct   ·   18:00</t>
        </is>
      </c>
      <c r="B38" s="37" t="n"/>
      <c r="O38" s="43" t="n"/>
      <c r="P38" s="45" t="n"/>
      <c r="Q38" s="41">
        <f>IF(R38="","W CH-R4-02",IF(R38=N53,M53&amp;"",IF(R38=N54,M54&amp;"","W CH-R4-02")))</f>
        <v/>
      </c>
      <c r="R38" s="46" t="n"/>
      <c r="U38" s="53" t="inlineStr">
        <is>
          <t>🥈 RUNNER-UP</t>
        </is>
      </c>
    </row>
    <row r="39" ht="17" customHeight="1">
      <c r="A39" s="38" t="inlineStr">
        <is>
          <t>Team 3</t>
        </is>
      </c>
      <c r="B39" s="39" t="inlineStr">
        <is>
          <t>Ashmil</t>
        </is>
      </c>
      <c r="C39" s="40" t="n"/>
      <c r="O39" s="43" t="n"/>
      <c r="U39" s="54">
        <f>IF(V37="","L final",IF(V37=R37,Q38&amp;"",IF(V37=R38,Q37&amp;"","L final")))</f>
        <v/>
      </c>
      <c r="V39" s="55">
        <f>IF(V37="","",IF(V37=R37,R38&amp;"",IF(V37=R38,R37&amp;"","")))</f>
        <v/>
      </c>
    </row>
    <row r="40" ht="17" customHeight="1">
      <c r="A40" s="41" t="inlineStr">
        <is>
          <t>Team 2</t>
        </is>
      </c>
      <c r="B40" s="42" t="inlineStr">
        <is>
          <t>Ray</t>
        </is>
      </c>
      <c r="C40" s="43" t="n"/>
      <c r="E40" s="36" t="inlineStr">
        <is>
          <t>CH-R2-05   ·   Fri 16 Oct   ·   18:00</t>
        </is>
      </c>
      <c r="F40" s="37" t="n"/>
      <c r="O40" s="43" t="n"/>
    </row>
    <row r="41" ht="17" customHeight="1">
      <c r="D41" s="45" t="n"/>
      <c r="E41" s="38">
        <f>IF(F41="","W CH-R1-08",IF(F41=B39,A39&amp;"",IF(F41=B40,A40&amp;"","W CH-R1-08")))</f>
        <v/>
      </c>
      <c r="F41" s="47" t="n"/>
      <c r="G41" s="40" t="n"/>
      <c r="O41" s="43" t="n"/>
      <c r="Q41" s="56" t="inlineStr">
        <is>
          <t>CH-3P-01   ·   3rd Place   ·   Mon 02 Nov   ·   18:00</t>
        </is>
      </c>
      <c r="R41" s="37" t="n"/>
      <c r="U41" s="57" t="inlineStr">
        <is>
          <t>🥉 3RD PLACE</t>
        </is>
      </c>
    </row>
    <row r="42" ht="17" customHeight="1">
      <c r="A42" s="36" t="inlineStr">
        <is>
          <t>CH-R1-09   ·   Thu 15 Oct   ·   18:00</t>
        </is>
      </c>
      <c r="B42" s="37" t="n"/>
      <c r="C42" s="43" t="n"/>
      <c r="D42" s="45" t="n"/>
      <c r="E42" s="41">
        <f>IF(F42="","W CH-R1-09",IF(F42=B43,A43&amp;"",IF(F42=B44,A44&amp;"","W CH-R1-09")))</f>
        <v/>
      </c>
      <c r="F42" s="46" t="n"/>
      <c r="G42" s="43" t="n"/>
      <c r="O42" s="43" t="n"/>
      <c r="Q42" s="38">
        <f>IF(R37="","L CH-R4-01",IF(R37=N21,M22&amp;"",IF(R37=N22,M21&amp;"","L CH-R4-01")))</f>
        <v/>
      </c>
      <c r="R42" s="30">
        <f>IF(R37="","",IF(R37=N21,N22&amp;"",IF(R37=N22,N21&amp;"","")))</f>
        <v/>
      </c>
      <c r="S42" s="50" t="n"/>
      <c r="T42" s="50" t="n"/>
      <c r="U42" s="58">
        <f>IF(V42="","W CH-3P-01",IF(V42=R42,Q42&amp;"",IF(V42=R43,Q43&amp;"","W CH-3P-01")))</f>
        <v/>
      </c>
      <c r="V42" s="59" t="n"/>
    </row>
    <row r="43" ht="17" customHeight="1">
      <c r="A43" s="38" t="inlineStr">
        <is>
          <t>Team 6</t>
        </is>
      </c>
      <c r="B43" s="39" t="inlineStr">
        <is>
          <t>Neha</t>
        </is>
      </c>
      <c r="C43" s="48" t="n"/>
      <c r="G43" s="43" t="n"/>
      <c r="O43" s="43" t="n"/>
      <c r="Q43" s="41">
        <f>IF(R38="","L CH-R4-02",IF(R38=N53,M54&amp;"",IF(R38=N54,M53&amp;"","L CH-R4-02")))</f>
        <v/>
      </c>
      <c r="R43" s="60">
        <f>IF(R38="","",IF(R38=N53,N54&amp;"",IF(R38=N54,N53&amp;"","")))</f>
        <v/>
      </c>
    </row>
    <row r="44" ht="17" customHeight="1">
      <c r="A44" s="41" t="inlineStr">
        <is>
          <t>Team 1</t>
        </is>
      </c>
      <c r="B44" s="42" t="inlineStr">
        <is>
          <t>Shamil</t>
        </is>
      </c>
      <c r="G44" s="43" t="n"/>
      <c r="I44" s="36" t="inlineStr">
        <is>
          <t>CH-R3-03   ·   Mon 19 Oct   ·   18:00</t>
        </is>
      </c>
      <c r="J44" s="37" t="n"/>
      <c r="O44" s="43" t="n"/>
    </row>
    <row r="45" ht="17" customHeight="1">
      <c r="H45" s="45" t="n"/>
      <c r="I45" s="38">
        <f>IF(J45="","W CH-R2-05",IF(J45=F41,E41&amp;"",IF(J45=F42,E42&amp;"","W CH-R2-05")))</f>
        <v/>
      </c>
      <c r="J45" s="47" t="n"/>
      <c r="K45" s="40" t="n"/>
      <c r="O45" s="43" t="n"/>
    </row>
    <row r="46" ht="17" customHeight="1">
      <c r="A46" s="36" t="inlineStr">
        <is>
          <t>CH-R1-10   ·   Thu 15 Oct   ·   18:00</t>
        </is>
      </c>
      <c r="B46" s="37" t="n"/>
      <c r="G46" s="43" t="n"/>
      <c r="H46" s="45" t="n"/>
      <c r="I46" s="41">
        <f>IF(J46="","W CH-R2-06",IF(J46=F49,E49&amp;"",IF(J46=F50,E50&amp;"","W CH-R2-06")))</f>
        <v/>
      </c>
      <c r="J46" s="46" t="n"/>
      <c r="K46" s="43" t="n"/>
      <c r="O46" s="43" t="n"/>
    </row>
    <row r="47" ht="17" customHeight="1">
      <c r="A47" s="38" t="inlineStr">
        <is>
          <t>Team 4</t>
        </is>
      </c>
      <c r="B47" s="39" t="inlineStr">
        <is>
          <t>AnnMary</t>
        </is>
      </c>
      <c r="C47" s="40" t="n"/>
      <c r="G47" s="43" t="n"/>
      <c r="K47" s="43" t="n"/>
      <c r="O47" s="43" t="n"/>
    </row>
    <row r="48" ht="17" customHeight="1">
      <c r="A48" s="41" t="inlineStr">
        <is>
          <t>Team 2</t>
        </is>
      </c>
      <c r="B48" s="42" t="inlineStr">
        <is>
          <t>Gokul</t>
        </is>
      </c>
      <c r="C48" s="43" t="n"/>
      <c r="E48" s="36" t="inlineStr">
        <is>
          <t>CH-R2-06   ·   Fri 16 Oct   ·   18:28</t>
        </is>
      </c>
      <c r="F48" s="37" t="n"/>
      <c r="G48" s="43" t="n"/>
      <c r="K48" s="43" t="n"/>
      <c r="O48" s="43" t="n"/>
    </row>
    <row r="49" ht="17" customHeight="1">
      <c r="D49" s="45" t="n"/>
      <c r="E49" s="38">
        <f>IF(F49="","W CH-R1-10",IF(F49=B47,A47&amp;"",IF(F49=B48,A48&amp;"","W CH-R1-10")))</f>
        <v/>
      </c>
      <c r="F49" s="47" t="n"/>
      <c r="G49" s="48" t="n"/>
      <c r="K49" s="43" t="n"/>
      <c r="O49" s="43" t="n"/>
    </row>
    <row r="50" ht="17" customHeight="1">
      <c r="A50" s="36" t="inlineStr">
        <is>
          <t>CH-R1-11   ·   Thu 15 Oct   ·   18:00</t>
        </is>
      </c>
      <c r="B50" s="37" t="n"/>
      <c r="C50" s="43" t="n"/>
      <c r="D50" s="45" t="n"/>
      <c r="E50" s="41">
        <f>IF(F50="","W CH-R1-11",IF(F50=B51,A51&amp;"",IF(F50=B52,A52&amp;"","W CH-R1-11")))</f>
        <v/>
      </c>
      <c r="F50" s="46" t="n"/>
      <c r="K50" s="43" t="n"/>
      <c r="O50" s="43" t="n"/>
    </row>
    <row r="51" ht="17" customHeight="1">
      <c r="A51" s="38" t="inlineStr">
        <is>
          <t>Team 6</t>
        </is>
      </c>
      <c r="B51" s="39" t="inlineStr">
        <is>
          <t>Benison</t>
        </is>
      </c>
      <c r="C51" s="48" t="n"/>
      <c r="K51" s="43" t="n"/>
      <c r="O51" s="43" t="n"/>
    </row>
    <row r="52" ht="17" customHeight="1">
      <c r="A52" s="41" t="inlineStr">
        <is>
          <t>Team 3</t>
        </is>
      </c>
      <c r="B52" s="42" t="inlineStr">
        <is>
          <t>Anjaly</t>
        </is>
      </c>
      <c r="K52" s="43" t="n"/>
      <c r="M52" s="36" t="inlineStr">
        <is>
          <t>CH-R4-02   ·   Thu 22 Oct   ·   18:28</t>
        </is>
      </c>
      <c r="N52" s="37" t="n"/>
      <c r="O52" s="43" t="n"/>
    </row>
    <row r="53" ht="17" customHeight="1">
      <c r="L53" s="45" t="n"/>
      <c r="M53" s="38">
        <f>IF(N53="","W CH-R3-03",IF(N53=J45,I45&amp;"",IF(N53=J46,I46&amp;"","W CH-R3-03")))</f>
        <v/>
      </c>
      <c r="N53" s="47" t="n"/>
      <c r="O53" s="48" t="n"/>
    </row>
    <row r="54" ht="17" customHeight="1">
      <c r="A54" s="36" t="inlineStr">
        <is>
          <t>CH-R1-12   ·   Thu 15 Oct   ·   18:00</t>
        </is>
      </c>
      <c r="B54" s="37" t="n"/>
      <c r="K54" s="43" t="n"/>
      <c r="L54" s="45" t="n"/>
      <c r="M54" s="41">
        <f>IF(N54="","W CH-R3-04",IF(N54=J61,I61&amp;"",IF(N54=J62,I62&amp;"","W CH-R3-04")))</f>
        <v/>
      </c>
      <c r="N54" s="46" t="n"/>
    </row>
    <row r="55" ht="17" customHeight="1">
      <c r="A55" s="38" t="inlineStr">
        <is>
          <t>Team 1</t>
        </is>
      </c>
      <c r="B55" s="39" t="inlineStr">
        <is>
          <t>Jithu</t>
        </is>
      </c>
      <c r="C55" s="40" t="n"/>
      <c r="K55" s="43" t="n"/>
    </row>
    <row r="56" ht="17" customHeight="1">
      <c r="A56" s="41" t="inlineStr">
        <is>
          <t>Team 5</t>
        </is>
      </c>
      <c r="B56" s="42" t="inlineStr">
        <is>
          <t>Sradha Santhosh</t>
        </is>
      </c>
      <c r="C56" s="43" t="n"/>
      <c r="E56" s="36" t="inlineStr">
        <is>
          <t>CH-R2-07   ·   Fri 16 Oct   ·   18:00</t>
        </is>
      </c>
      <c r="F56" s="37" t="n"/>
      <c r="K56" s="43" t="n"/>
    </row>
    <row r="57" ht="17" customHeight="1">
      <c r="D57" s="45" t="n"/>
      <c r="E57" s="38">
        <f>IF(F57="","W CH-R1-12",IF(F57=B55,A55&amp;"",IF(F57=B56,A56&amp;"","W CH-R1-12")))</f>
        <v/>
      </c>
      <c r="F57" s="47" t="n"/>
      <c r="G57" s="40" t="n"/>
      <c r="K57" s="43" t="n"/>
    </row>
    <row r="58" ht="17" customHeight="1">
      <c r="A58" s="36" t="inlineStr">
        <is>
          <t>CH-R1-13   ·   Thu 15 Oct   ·   18:00</t>
        </is>
      </c>
      <c r="B58" s="37" t="n"/>
      <c r="C58" s="43" t="n"/>
      <c r="D58" s="45" t="n"/>
      <c r="E58" s="41">
        <f>IF(F58="","W CH-R1-13",IF(F58=B59,A59&amp;"",IF(F58=B60,A60&amp;"","W CH-R1-13")))</f>
        <v/>
      </c>
      <c r="F58" s="46" t="n"/>
      <c r="G58" s="43" t="n"/>
      <c r="K58" s="43" t="n"/>
    </row>
    <row r="59" ht="17" customHeight="1">
      <c r="A59" s="38" t="inlineStr">
        <is>
          <t>Team 2</t>
        </is>
      </c>
      <c r="B59" s="39" t="inlineStr">
        <is>
          <t>Renson</t>
        </is>
      </c>
      <c r="C59" s="48" t="n"/>
      <c r="G59" s="43" t="n"/>
      <c r="K59" s="43" t="n"/>
    </row>
    <row r="60" ht="17" customHeight="1">
      <c r="A60" s="41" t="inlineStr">
        <is>
          <t>Team 4</t>
        </is>
      </c>
      <c r="B60" s="42" t="inlineStr">
        <is>
          <t>Rajeesh C V</t>
        </is>
      </c>
      <c r="G60" s="43" t="n"/>
      <c r="I60" s="36" t="inlineStr">
        <is>
          <t>CH-R3-04   ·   Mon 19 Oct   ·   18:00</t>
        </is>
      </c>
      <c r="J60" s="37" t="n"/>
      <c r="K60" s="43" t="n"/>
    </row>
    <row r="61" ht="17" customHeight="1">
      <c r="H61" s="45" t="n"/>
      <c r="I61" s="38">
        <f>IF(J61="","W CH-R2-07",IF(J61=F57,E57&amp;"",IF(J61=F58,E58&amp;"","W CH-R2-07")))</f>
        <v/>
      </c>
      <c r="J61" s="47" t="n"/>
      <c r="K61" s="48" t="n"/>
    </row>
    <row r="62" ht="17" customHeight="1">
      <c r="A62" s="36" t="inlineStr">
        <is>
          <t>CH-R1-14   ·   Thu 15 Oct   ·   18:00</t>
        </is>
      </c>
      <c r="B62" s="37" t="n"/>
      <c r="G62" s="43" t="n"/>
      <c r="H62" s="45" t="n"/>
      <c r="I62" s="41">
        <f>IF(J62="","W CH-R2-08",IF(J62=F65,E65&amp;"",IF(J62=F66,E66&amp;"","W CH-R2-08")))</f>
        <v/>
      </c>
      <c r="J62" s="46" t="n"/>
    </row>
    <row r="63" ht="17" customHeight="1">
      <c r="A63" s="38" t="inlineStr">
        <is>
          <t>Team 2</t>
        </is>
      </c>
      <c r="B63" s="39" t="inlineStr">
        <is>
          <t>Anurag</t>
        </is>
      </c>
      <c r="C63" s="40" t="n"/>
      <c r="G63" s="43" t="n"/>
    </row>
    <row r="64" ht="17" customHeight="1">
      <c r="A64" s="41" t="inlineStr">
        <is>
          <t>Team 5</t>
        </is>
      </c>
      <c r="B64" s="42" t="inlineStr">
        <is>
          <t>Abhijith K V</t>
        </is>
      </c>
      <c r="C64" s="43" t="n"/>
      <c r="E64" s="36" t="inlineStr">
        <is>
          <t>CH-R2-08   ·   Fri 16 Oct   ·   18:28</t>
        </is>
      </c>
      <c r="F64" s="37" t="n"/>
      <c r="G64" s="43" t="n"/>
    </row>
    <row r="65" ht="17" customHeight="1">
      <c r="D65" s="45" t="n"/>
      <c r="E65" s="38">
        <f>IF(F65="","W CH-R1-14",IF(F65=B63,A63&amp;"",IF(F65=B64,A64&amp;"","W CH-R1-14")))</f>
        <v/>
      </c>
      <c r="F65" s="47" t="n"/>
      <c r="G65" s="48" t="n"/>
    </row>
    <row r="66" ht="17" customHeight="1">
      <c r="A66" s="36" t="inlineStr">
        <is>
          <t>CH-R1-15   ·   Thu 15 Oct   ·   18:28</t>
        </is>
      </c>
      <c r="B66" s="37" t="n"/>
      <c r="C66" s="43" t="n"/>
      <c r="D66" s="45" t="n"/>
      <c r="E66" s="41">
        <f>IF(F66="","W CH-R1-15",IF(F66=B67,A67&amp;"",IF(F66=B68,A68&amp;"","W CH-R1-15")))</f>
        <v/>
      </c>
      <c r="F66" s="46" t="n"/>
    </row>
    <row r="67" ht="17" customHeight="1">
      <c r="A67" s="38" t="inlineStr">
        <is>
          <t>Team 5</t>
        </is>
      </c>
      <c r="B67" s="39" t="inlineStr">
        <is>
          <t>Akshay Antony</t>
        </is>
      </c>
      <c r="C67" s="48" t="n"/>
    </row>
    <row r="68" ht="17" customHeight="1">
      <c r="A68" s="41" t="inlineStr">
        <is>
          <t>Team 6</t>
        </is>
      </c>
      <c r="B68" s="42" t="inlineStr">
        <is>
          <t>Merrin</t>
        </is>
      </c>
    </row>
    <row r="69" ht="17" customHeight="1"/>
    <row r="70" ht="17" customHeight="1"/>
    <row r="71" ht="17" customHeight="1"/>
  </sheetData>
  <mergeCells count="47">
    <mergeCell ref="A2:V2"/>
    <mergeCell ref="A30:B30"/>
    <mergeCell ref="E24:F24"/>
    <mergeCell ref="E5:F5"/>
    <mergeCell ref="M52:N52"/>
    <mergeCell ref="M5:N5"/>
    <mergeCell ref="E48:F48"/>
    <mergeCell ref="U36:V36"/>
    <mergeCell ref="A6:B6"/>
    <mergeCell ref="E8:F8"/>
    <mergeCell ref="E64:F64"/>
    <mergeCell ref="E4:F4"/>
    <mergeCell ref="A54:B54"/>
    <mergeCell ref="M20:N20"/>
    <mergeCell ref="U4:V5"/>
    <mergeCell ref="Q5:R5"/>
    <mergeCell ref="A46:B46"/>
    <mergeCell ref="A66:B66"/>
    <mergeCell ref="I28:J28"/>
    <mergeCell ref="A18:B18"/>
    <mergeCell ref="E40:F40"/>
    <mergeCell ref="U41:V41"/>
    <mergeCell ref="Q4:R4"/>
    <mergeCell ref="A50:B50"/>
    <mergeCell ref="A26:B26"/>
    <mergeCell ref="I12:J12"/>
    <mergeCell ref="I60:J60"/>
    <mergeCell ref="A1:V1"/>
    <mergeCell ref="A5:B5"/>
    <mergeCell ref="A42:B42"/>
    <mergeCell ref="I5:J5"/>
    <mergeCell ref="A14:B14"/>
    <mergeCell ref="Q36:R36"/>
    <mergeCell ref="A22:B22"/>
    <mergeCell ref="A4:B4"/>
    <mergeCell ref="A62:B62"/>
    <mergeCell ref="I44:J44"/>
    <mergeCell ref="A38:B38"/>
    <mergeCell ref="I4:J4"/>
    <mergeCell ref="E16:F16"/>
    <mergeCell ref="E32:F32"/>
    <mergeCell ref="U38:V38"/>
    <mergeCell ref="Q41:R41"/>
    <mergeCell ref="E56:F56"/>
    <mergeCell ref="M4:N4"/>
    <mergeCell ref="A58:B58"/>
    <mergeCell ref="A34:B34"/>
  </mergeCells>
  <dataValidations count="31">
    <dataValidation sqref="F10" showDropDown="0" showInputMessage="0" showErrorMessage="0" allowBlank="1" type="list">
      <formula1>$B$7:$B$8</formula1>
    </dataValidation>
    <dataValidation sqref="F17" showDropDown="0" showInputMessage="0" showErrorMessage="0" allowBlank="1" type="list">
      <formula1>$B$15:$B$16</formula1>
    </dataValidation>
    <dataValidation sqref="F18" showDropDown="0" showInputMessage="0" showErrorMessage="0" allowBlank="1" type="list">
      <formula1>$B$19:$B$20</formula1>
    </dataValidation>
    <dataValidation sqref="F25" showDropDown="0" showInputMessage="0" showErrorMessage="0" allowBlank="1" type="list">
      <formula1>$B$23:$B$24</formula1>
    </dataValidation>
    <dataValidation sqref="F26" showDropDown="0" showInputMessage="0" showErrorMessage="0" allowBlank="1" type="list">
      <formula1>$B$27:$B$28</formula1>
    </dataValidation>
    <dataValidation sqref="F33" showDropDown="0" showInputMessage="0" showErrorMessage="0" allowBlank="1" type="list">
      <formula1>$B$31:$B$32</formula1>
    </dataValidation>
    <dataValidation sqref="F34" showDropDown="0" showInputMessage="0" showErrorMessage="0" allowBlank="1" type="list">
      <formula1>$B$35:$B$36</formula1>
    </dataValidation>
    <dataValidation sqref="F41" showDropDown="0" showInputMessage="0" showErrorMessage="0" allowBlank="1" type="list">
      <formula1>$B$39:$B$40</formula1>
    </dataValidation>
    <dataValidation sqref="F42" showDropDown="0" showInputMessage="0" showErrorMessage="0" allowBlank="1" type="list">
      <formula1>$B$43:$B$44</formula1>
    </dataValidation>
    <dataValidation sqref="F49" showDropDown="0" showInputMessage="0" showErrorMessage="0" allowBlank="1" type="list">
      <formula1>$B$47:$B$48</formula1>
    </dataValidation>
    <dataValidation sqref="F50" showDropDown="0" showInputMessage="0" showErrorMessage="0" allowBlank="1" type="list">
      <formula1>$B$51:$B$52</formula1>
    </dataValidation>
    <dataValidation sqref="F57" showDropDown="0" showInputMessage="0" showErrorMessage="0" allowBlank="1" type="list">
      <formula1>$B$55:$B$56</formula1>
    </dataValidation>
    <dataValidation sqref="F58" showDropDown="0" showInputMessage="0" showErrorMessage="0" allowBlank="1" type="list">
      <formula1>$B$59:$B$60</formula1>
    </dataValidation>
    <dataValidation sqref="F65" showDropDown="0" showInputMessage="0" showErrorMessage="0" allowBlank="1" type="list">
      <formula1>$B$63:$B$64</formula1>
    </dataValidation>
    <dataValidation sqref="F66" showDropDown="0" showInputMessage="0" showErrorMessage="0" allowBlank="1" type="list">
      <formula1>$B$67:$B$68</formula1>
    </dataValidation>
    <dataValidation sqref="J13" showDropDown="0" showInputMessage="0" showErrorMessage="0" allowBlank="1" type="list">
      <formula1>$F$9:$F$10</formula1>
    </dataValidation>
    <dataValidation sqref="J14" showDropDown="0" showInputMessage="0" showErrorMessage="0" allowBlank="1" type="list">
      <formula1>$F$17:$F$18</formula1>
    </dataValidation>
    <dataValidation sqref="J29" showDropDown="0" showInputMessage="0" showErrorMessage="0" allowBlank="1" type="list">
      <formula1>$F$25:$F$26</formula1>
    </dataValidation>
    <dataValidation sqref="J30" showDropDown="0" showInputMessage="0" showErrorMessage="0" allowBlank="1" type="list">
      <formula1>$F$33:$F$34</formula1>
    </dataValidation>
    <dataValidation sqref="J45" showDropDown="0" showInputMessage="0" showErrorMessage="0" allowBlank="1" type="list">
      <formula1>$F$41:$F$42</formula1>
    </dataValidation>
    <dataValidation sqref="J46" showDropDown="0" showInputMessage="0" showErrorMessage="0" allowBlank="1" type="list">
      <formula1>$F$49:$F$50</formula1>
    </dataValidation>
    <dataValidation sqref="J61" showDropDown="0" showInputMessage="0" showErrorMessage="0" allowBlank="1" type="list">
      <formula1>$F$57:$F$58</formula1>
    </dataValidation>
    <dataValidation sqref="J62" showDropDown="0" showInputMessage="0" showErrorMessage="0" allowBlank="1" type="list">
      <formula1>$F$65:$F$66</formula1>
    </dataValidation>
    <dataValidation sqref="N21" showDropDown="0" showInputMessage="0" showErrorMessage="0" allowBlank="1" type="list">
      <formula1>$J$13:$J$14</formula1>
    </dataValidation>
    <dataValidation sqref="N22" showDropDown="0" showInputMessage="0" showErrorMessage="0" allowBlank="1" type="list">
      <formula1>$J$29:$J$30</formula1>
    </dataValidation>
    <dataValidation sqref="N53" showDropDown="0" showInputMessage="0" showErrorMessage="0" allowBlank="1" type="list">
      <formula1>$J$45:$J$46</formula1>
    </dataValidation>
    <dataValidation sqref="N54" showDropDown="0" showInputMessage="0" showErrorMessage="0" allowBlank="1" type="list">
      <formula1>$J$61:$J$62</formula1>
    </dataValidation>
    <dataValidation sqref="R37" showDropDown="0" showInputMessage="0" showErrorMessage="0" allowBlank="1" type="list">
      <formula1>$N$21:$N$22</formula1>
    </dataValidation>
    <dataValidation sqref="R38" showDropDown="0" showInputMessage="0" showErrorMessage="0" allowBlank="1" type="list">
      <formula1>$N$53:$N$54</formula1>
    </dataValidation>
    <dataValidation sqref="V37" showDropDown="0" showInputMessage="0" showErrorMessage="0" allowBlank="1" type="list">
      <formula1>$R$37:$R$38</formula1>
    </dataValidation>
    <dataValidation sqref="V42" showDropDown="0" showInputMessage="0" showErrorMessage="0" allowBlank="1" type="list">
      <formula1>$R$42:$R$43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8"/>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2.5" customWidth="1" min="3" max="3"/>
    <col width="2.5" customWidth="1" min="4" max="4"/>
    <col width="12" customWidth="1" min="5" max="5"/>
    <col width="30" customWidth="1" min="6" max="6"/>
    <col width="2.5" customWidth="1" min="7" max="7"/>
    <col width="2.5" customWidth="1" min="8" max="8"/>
    <col width="12" customWidth="1" min="9" max="9"/>
    <col width="30" customWidth="1" min="10" max="10"/>
    <col width="2.5" customWidth="1" min="11" max="11"/>
    <col width="2.5" customWidth="1" min="12" max="12"/>
    <col width="12" customWidth="1" min="13" max="13"/>
    <col width="30" customWidth="1" min="14" max="14"/>
    <col width="2.5" customWidth="1" min="15" max="15"/>
    <col width="2.5" customWidth="1" min="16" max="16"/>
    <col width="12" customWidth="1" min="17" max="17"/>
    <col width="30" customWidth="1" min="18" max="18"/>
    <col width="2.5" customWidth="1" min="19" max="19"/>
    <col width="2.5" customWidth="1" min="20" max="20"/>
    <col width="12" customWidth="1" min="21" max="21"/>
    <col width="30" customWidth="1" min="22" max="22"/>
    <col width="2.5" customWidth="1" min="23" max="23"/>
    <col width="2.5" customWidth="1" min="24" max="24"/>
  </cols>
  <sheetData>
    <row r="1" ht="30" customHeight="1">
      <c r="A1" s="1" t="inlineStr">
        <is>
          <t>Carroms Doubles — Knockout Bracket   (31 entries)</t>
        </is>
      </c>
    </row>
    <row r="2">
      <c r="A2" s="2" t="inlineStr">
        <is>
          <t>Random draw, teammates kept apart in their first match.   Grey team cell = bye (starts in Round 2).</t>
        </is>
      </c>
    </row>
    <row r="4" ht="20" customHeight="1">
      <c r="A4" s="34" t="inlineStr">
        <is>
          <t>Round 1</t>
        </is>
      </c>
      <c r="E4" s="34" t="inlineStr">
        <is>
          <t>Round 2</t>
        </is>
      </c>
      <c r="I4" s="34" t="inlineStr">
        <is>
          <t>Quarter-finals</t>
        </is>
      </c>
      <c r="M4" s="34" t="inlineStr">
        <is>
          <t>Semi-finals</t>
        </is>
      </c>
      <c r="Q4" s="34" t="inlineStr">
        <is>
          <t>Final</t>
        </is>
      </c>
      <c r="U4" s="34" t="inlineStr">
        <is>
          <t>Champion</t>
        </is>
      </c>
    </row>
    <row r="5">
      <c r="A5" s="35" t="inlineStr">
        <is>
          <t>Thu 15 Oct – Wed 21 Oct  ·  15 matches</t>
        </is>
      </c>
      <c r="E5" s="35" t="inlineStr">
        <is>
          <t>Mon 19 Oct – Thu 22 Oct  ·  8 matches</t>
        </is>
      </c>
      <c r="I5" s="35" t="inlineStr">
        <is>
          <t>Thu 22 Oct – Fri 23 Oct  ·  4 matches</t>
        </is>
      </c>
      <c r="M5" s="35" t="inlineStr">
        <is>
          <t>Fri 23 Oct – Mon 26 Oct  ·  2 matches</t>
        </is>
      </c>
      <c r="Q5" s="35" t="inlineStr">
        <is>
          <t>Mon 02 Nov  ·  1 match</t>
        </is>
      </c>
    </row>
    <row r="6" ht="17" customHeight="1">
      <c r="A6" s="36" t="inlineStr">
        <is>
          <t>CR-R1-01   ·   Thu 15 Oct   ·   18:00</t>
        </is>
      </c>
      <c r="B6" s="37" t="n"/>
    </row>
    <row r="7" ht="17" customHeight="1">
      <c r="A7" s="38" t="inlineStr">
        <is>
          <t>Team 6</t>
        </is>
      </c>
      <c r="B7" s="39" t="inlineStr">
        <is>
          <t>Merrin &amp; Anandhakrishnan</t>
        </is>
      </c>
      <c r="C7" s="40" t="n"/>
    </row>
    <row r="8" ht="17" customHeight="1">
      <c r="A8" s="41" t="inlineStr">
        <is>
          <t>Team 1</t>
        </is>
      </c>
      <c r="B8" s="42" t="inlineStr">
        <is>
          <t>Joyel &amp; Shinu</t>
        </is>
      </c>
      <c r="C8" s="43" t="n"/>
      <c r="E8" s="36" t="inlineStr">
        <is>
          <t>CR-R2-01   ·   Mon 19 Oct   ·   19:24</t>
        </is>
      </c>
      <c r="F8" s="37" t="n"/>
    </row>
    <row r="9" ht="17" customHeight="1">
      <c r="C9" s="43" t="n"/>
      <c r="E9" s="44" t="inlineStr">
        <is>
          <t>Team 3</t>
        </is>
      </c>
      <c r="F9" s="39" t="inlineStr">
        <is>
          <t>Anan &amp; Avani</t>
        </is>
      </c>
      <c r="G9" s="40" t="n"/>
    </row>
    <row r="10" ht="17" customHeight="1">
      <c r="D10" s="45" t="n"/>
      <c r="E10" s="41">
        <f>IF(F10="","W CR-R1-01",IF(F10=B7,A7&amp;"",IF(F10=B8,A8&amp;"","W CR-R1-01")))</f>
        <v/>
      </c>
      <c r="F10" s="46" t="n"/>
      <c r="G10" s="43" t="n"/>
    </row>
    <row r="11" ht="17" customHeight="1">
      <c r="G11" s="43" t="n"/>
    </row>
    <row r="12" ht="17" customHeight="1">
      <c r="G12" s="43" t="n"/>
      <c r="I12" s="36" t="inlineStr">
        <is>
          <t>CR-R3-01   ·   Thu 22 Oct   ·   19:32</t>
        </is>
      </c>
      <c r="J12" s="37" t="n"/>
    </row>
    <row r="13" ht="17" customHeight="1">
      <c r="H13" s="45" t="n"/>
      <c r="I13" s="38">
        <f>IF(J13="","W CR-R2-01",IF(J13=F9,E9&amp;"",IF(J13=F10,E10&amp;"","W CR-R2-01")))</f>
        <v/>
      </c>
      <c r="J13" s="47" t="n"/>
      <c r="K13" s="40" t="n"/>
    </row>
    <row r="14" ht="17" customHeight="1">
      <c r="A14" s="36" t="inlineStr">
        <is>
          <t>CR-R1-02   ·   Thu 15 Oct   ·   18:42</t>
        </is>
      </c>
      <c r="B14" s="37" t="n"/>
      <c r="G14" s="43" t="n"/>
      <c r="H14" s="45" t="n"/>
      <c r="I14" s="41">
        <f>IF(J14="","W CR-R2-02",IF(J14=F17,E17&amp;"",IF(J14=F18,E18&amp;"","W CR-R2-02")))</f>
        <v/>
      </c>
      <c r="J14" s="46" t="n"/>
      <c r="K14" s="43" t="n"/>
    </row>
    <row r="15" ht="17" customHeight="1">
      <c r="A15" s="38" t="inlineStr">
        <is>
          <t>Team 1</t>
        </is>
      </c>
      <c r="B15" s="39" t="inlineStr">
        <is>
          <t>Neethu &amp; Vidhu</t>
        </is>
      </c>
      <c r="C15" s="40" t="n"/>
      <c r="G15" s="43" t="n"/>
      <c r="K15" s="43" t="n"/>
    </row>
    <row r="16" ht="17" customHeight="1">
      <c r="A16" s="41" t="inlineStr">
        <is>
          <t>Team 3</t>
        </is>
      </c>
      <c r="B16" s="42" t="inlineStr">
        <is>
          <t>Ashmil &amp; Prajith</t>
        </is>
      </c>
      <c r="C16" s="43" t="n"/>
      <c r="E16" s="36" t="inlineStr">
        <is>
          <t>CR-R2-02   ·   Wed 21 Oct   ·   19:25</t>
        </is>
      </c>
      <c r="F16" s="37" t="n"/>
      <c r="G16" s="43" t="n"/>
      <c r="K16" s="43" t="n"/>
    </row>
    <row r="17" ht="17" customHeight="1">
      <c r="D17" s="45" t="n"/>
      <c r="E17" s="38">
        <f>IF(F17="","W CR-R1-02",IF(F17=B15,A15&amp;"",IF(F17=B16,A16&amp;"","W CR-R1-02")))</f>
        <v/>
      </c>
      <c r="F17" s="47" t="n"/>
      <c r="G17" s="48" t="n"/>
      <c r="K17" s="43" t="n"/>
    </row>
    <row r="18" ht="17" customHeight="1">
      <c r="A18" s="36" t="inlineStr">
        <is>
          <t>CR-R1-03   ·   Thu 15 Oct   ·   19:03</t>
        </is>
      </c>
      <c r="B18" s="37" t="n"/>
      <c r="C18" s="43" t="n"/>
      <c r="D18" s="45" t="n"/>
      <c r="E18" s="41">
        <f>IF(F18="","W CR-R1-03",IF(F18=B19,A19&amp;"",IF(F18=B20,A20&amp;"","W CR-R1-03")))</f>
        <v/>
      </c>
      <c r="F18" s="46" t="n"/>
      <c r="K18" s="43" t="n"/>
    </row>
    <row r="19" ht="17" customHeight="1">
      <c r="A19" s="38" t="inlineStr">
        <is>
          <t>Team 4</t>
        </is>
      </c>
      <c r="B19" s="39" t="inlineStr">
        <is>
          <t>Gautham &amp; Don</t>
        </is>
      </c>
      <c r="C19" s="48" t="n"/>
      <c r="K19" s="43" t="n"/>
    </row>
    <row r="20" ht="17" customHeight="1">
      <c r="A20" s="41" t="inlineStr">
        <is>
          <t>Team 1</t>
        </is>
      </c>
      <c r="B20" s="42" t="inlineStr">
        <is>
          <t>Nivya Mathew &amp; Bilal</t>
        </is>
      </c>
      <c r="K20" s="43" t="n"/>
      <c r="M20" s="36" t="inlineStr">
        <is>
          <t>CR-R4-01   ·   Fri 23 Oct   ·   19:25</t>
        </is>
      </c>
      <c r="N20" s="37" t="n"/>
    </row>
    <row r="21" ht="17" customHeight="1">
      <c r="L21" s="45" t="n"/>
      <c r="M21" s="38">
        <f>IF(N21="","W CR-R3-01",IF(N21=J13,I13&amp;"",IF(N21=J14,I14&amp;"","W CR-R3-01")))</f>
        <v/>
      </c>
      <c r="N21" s="47" t="n"/>
      <c r="O21" s="40" t="n"/>
    </row>
    <row r="22" ht="17" customHeight="1">
      <c r="A22" s="36" t="inlineStr">
        <is>
          <t>CR-R1-04   ·   Thu 15 Oct   ·   19:24</t>
        </is>
      </c>
      <c r="B22" s="37" t="n"/>
      <c r="K22" s="43" t="n"/>
      <c r="L22" s="45" t="n"/>
      <c r="M22" s="41">
        <f>IF(N22="","W CR-R3-02",IF(N22=J29,I29&amp;"",IF(N22=J30,I30&amp;"","W CR-R3-02")))</f>
        <v/>
      </c>
      <c r="N22" s="46" t="n"/>
      <c r="O22" s="43" t="n"/>
    </row>
    <row r="23" ht="17" customHeight="1">
      <c r="A23" s="38" t="inlineStr">
        <is>
          <t>Team 5</t>
        </is>
      </c>
      <c r="B23" s="39" t="inlineStr">
        <is>
          <t>Sradha Santhosh &amp; Nidheesh P V</t>
        </is>
      </c>
      <c r="C23" s="40" t="n"/>
      <c r="K23" s="43" t="n"/>
      <c r="O23" s="43" t="n"/>
    </row>
    <row r="24" ht="17" customHeight="1">
      <c r="A24" s="41" t="inlineStr">
        <is>
          <t>Team 1</t>
        </is>
      </c>
      <c r="B24" s="42" t="inlineStr">
        <is>
          <t>Deekshith &amp; Akshay</t>
        </is>
      </c>
      <c r="C24" s="43" t="n"/>
      <c r="E24" s="36" t="inlineStr">
        <is>
          <t>CR-R2-03   ·   Thu 22 Oct   ·   18:00</t>
        </is>
      </c>
      <c r="F24" s="37" t="n"/>
      <c r="K24" s="43" t="n"/>
      <c r="O24" s="43" t="n"/>
    </row>
    <row r="25" ht="17" customHeight="1">
      <c r="D25" s="45" t="n"/>
      <c r="E25" s="38">
        <f>IF(F25="","W CR-R1-04",IF(F25=B23,A23&amp;"",IF(F25=B24,A24&amp;"","W CR-R1-04")))</f>
        <v/>
      </c>
      <c r="F25" s="47" t="n"/>
      <c r="G25" s="40" t="n"/>
      <c r="K25" s="43" t="n"/>
      <c r="O25" s="43" t="n"/>
    </row>
    <row r="26" ht="17" customHeight="1">
      <c r="A26" s="36" t="inlineStr">
        <is>
          <t>CR-R1-05   ·   Thu 15 Oct   ·   18:21</t>
        </is>
      </c>
      <c r="B26" s="37" t="n"/>
      <c r="C26" s="43" t="n"/>
      <c r="D26" s="45" t="n"/>
      <c r="E26" s="41">
        <f>IF(F26="","W CR-R1-05",IF(F26=B27,A27&amp;"",IF(F26=B28,A28&amp;"","W CR-R1-05")))</f>
        <v/>
      </c>
      <c r="F26" s="46" t="n"/>
      <c r="G26" s="43" t="n"/>
      <c r="K26" s="43" t="n"/>
      <c r="O26" s="43" t="n"/>
    </row>
    <row r="27" ht="17" customHeight="1">
      <c r="A27" s="38" t="inlineStr">
        <is>
          <t>Team 2</t>
        </is>
      </c>
      <c r="B27" s="39" t="inlineStr">
        <is>
          <t>Athira &amp; Anas</t>
        </is>
      </c>
      <c r="C27" s="48" t="n"/>
      <c r="G27" s="43" t="n"/>
      <c r="K27" s="43" t="n"/>
      <c r="O27" s="43" t="n"/>
    </row>
    <row r="28" ht="17" customHeight="1">
      <c r="A28" s="41" t="inlineStr">
        <is>
          <t>Team 5</t>
        </is>
      </c>
      <c r="B28" s="42" t="inlineStr">
        <is>
          <t>Sarath Joseph &amp; Adhith Vinoj</t>
        </is>
      </c>
      <c r="G28" s="43" t="n"/>
      <c r="I28" s="36" t="inlineStr">
        <is>
          <t>CR-R3-02   ·   Fri 23 Oct   ·   18:43</t>
        </is>
      </c>
      <c r="J28" s="37" t="n"/>
      <c r="K28" s="43" t="n"/>
      <c r="O28" s="43" t="n"/>
    </row>
    <row r="29" ht="17" customHeight="1">
      <c r="H29" s="45" t="n"/>
      <c r="I29" s="38">
        <f>IF(J29="","W CR-R2-03",IF(J29=F25,E25&amp;"",IF(J29=F26,E26&amp;"","W CR-R2-03")))</f>
        <v/>
      </c>
      <c r="J29" s="47" t="n"/>
      <c r="K29" s="48" t="n"/>
      <c r="O29" s="43" t="n"/>
    </row>
    <row r="30" ht="17" customHeight="1">
      <c r="A30" s="36" t="inlineStr">
        <is>
          <t>CR-R1-06   ·   Fri 16 Oct   ·   18:00</t>
        </is>
      </c>
      <c r="B30" s="37" t="n"/>
      <c r="G30" s="43" t="n"/>
      <c r="H30" s="45" t="n"/>
      <c r="I30" s="41">
        <f>IF(J30="","W CR-R2-04",IF(J30=F33,E33&amp;"",IF(J30=F34,E34&amp;"","W CR-R2-04")))</f>
        <v/>
      </c>
      <c r="J30" s="46" t="n"/>
      <c r="O30" s="43" t="n"/>
    </row>
    <row r="31" ht="17" customHeight="1">
      <c r="A31" s="38" t="inlineStr">
        <is>
          <t>Team 6</t>
        </is>
      </c>
      <c r="B31" s="39" t="inlineStr">
        <is>
          <t>Ansam &amp; Justin</t>
        </is>
      </c>
      <c r="C31" s="40" t="n"/>
      <c r="G31" s="43" t="n"/>
      <c r="O31" s="43" t="n"/>
    </row>
    <row r="32" ht="17" customHeight="1">
      <c r="A32" s="41" t="inlineStr">
        <is>
          <t>Team 2</t>
        </is>
      </c>
      <c r="B32" s="42" t="inlineStr">
        <is>
          <t>Gokul &amp; Anurag</t>
        </is>
      </c>
      <c r="C32" s="43" t="n"/>
      <c r="E32" s="36" t="inlineStr">
        <is>
          <t>CR-R2-04   ·   Wed 21 Oct   ·   18:21</t>
        </is>
      </c>
      <c r="F32" s="37" t="n"/>
      <c r="G32" s="43" t="n"/>
      <c r="O32" s="43" t="n"/>
    </row>
    <row r="33" ht="17" customHeight="1">
      <c r="D33" s="45" t="n"/>
      <c r="E33" s="38">
        <f>IF(F33="","W CR-R1-06",IF(F33=B31,A31&amp;"",IF(F33=B32,A32&amp;"","W CR-R1-06")))</f>
        <v/>
      </c>
      <c r="F33" s="47" t="n"/>
      <c r="G33" s="48" t="n"/>
      <c r="O33" s="43" t="n"/>
    </row>
    <row r="34" ht="17" customHeight="1">
      <c r="A34" s="36" t="inlineStr">
        <is>
          <t>CR-R1-07   ·   Fri 16 Oct   ·   18:42</t>
        </is>
      </c>
      <c r="B34" s="37" t="n"/>
      <c r="C34" s="43" t="n"/>
      <c r="D34" s="45" t="n"/>
      <c r="E34" s="41">
        <f>IF(F34="","W CR-R1-07",IF(F34=B35,A35&amp;"",IF(F34=B36,A36&amp;"","W CR-R1-07")))</f>
        <v/>
      </c>
      <c r="F34" s="46" t="n"/>
      <c r="O34" s="43" t="n"/>
    </row>
    <row r="35" ht="17" customHeight="1">
      <c r="A35" s="38" t="inlineStr">
        <is>
          <t>Team 2</t>
        </is>
      </c>
      <c r="B35" s="39" t="inlineStr">
        <is>
          <t>Akshay &amp; Gouresh</t>
        </is>
      </c>
      <c r="C35" s="48" t="n"/>
      <c r="O35" s="43" t="n"/>
    </row>
    <row r="36" ht="17" customHeight="1">
      <c r="A36" s="41" t="inlineStr">
        <is>
          <t>Team 6</t>
        </is>
      </c>
      <c r="B36" s="42" t="inlineStr">
        <is>
          <t>Sharan &amp; Musthaq</t>
        </is>
      </c>
      <c r="O36" s="43" t="n"/>
      <c r="Q36" s="36" t="inlineStr">
        <is>
          <t>CR-R5-01   ·   Mon 02 Nov   ·   18:21</t>
        </is>
      </c>
      <c r="R36" s="37" t="n"/>
      <c r="U36" s="49" t="inlineStr">
        <is>
          <t>🏆 CHAMPION</t>
        </is>
      </c>
    </row>
    <row r="37" ht="17" customHeight="1">
      <c r="P37" s="45" t="n"/>
      <c r="Q37" s="38">
        <f>IF(R37="","W CR-R4-01",IF(R37=N21,M21&amp;"",IF(R37=N22,M22&amp;"","W CR-R4-01")))</f>
        <v/>
      </c>
      <c r="R37" s="47" t="n"/>
      <c r="S37" s="50" t="n"/>
      <c r="T37" s="50" t="n"/>
      <c r="U37" s="51">
        <f>IF(V37="","W CR-R5-01",IF(V37=R37,Q37&amp;"",IF(V37=R38,Q38&amp;"","W CR-R5-01")))</f>
        <v/>
      </c>
      <c r="V37" s="52" t="n"/>
    </row>
    <row r="38" ht="17" customHeight="1">
      <c r="A38" s="36" t="inlineStr">
        <is>
          <t>CR-R1-08   ·   Fri 16 Oct   ·   19:24</t>
        </is>
      </c>
      <c r="B38" s="37" t="n"/>
      <c r="O38" s="43" t="n"/>
      <c r="P38" s="45" t="n"/>
      <c r="Q38" s="41">
        <f>IF(R38="","W CR-R4-02",IF(R38=N53,M53&amp;"",IF(R38=N54,M54&amp;"","W CR-R4-02")))</f>
        <v/>
      </c>
      <c r="R38" s="46" t="n"/>
      <c r="U38" s="53" t="inlineStr">
        <is>
          <t>🥈 RUNNER-UP</t>
        </is>
      </c>
    </row>
    <row r="39" ht="17" customHeight="1">
      <c r="A39" s="38" t="inlineStr">
        <is>
          <t>Team 4</t>
        </is>
      </c>
      <c r="B39" s="39" t="inlineStr">
        <is>
          <t>Aparna &amp; Sahil M I</t>
        </is>
      </c>
      <c r="C39" s="40" t="n"/>
      <c r="O39" s="43" t="n"/>
      <c r="U39" s="54">
        <f>IF(V37="","L final",IF(V37=R37,Q38&amp;"",IF(V37=R38,Q37&amp;"","L final")))</f>
        <v/>
      </c>
      <c r="V39" s="55">
        <f>IF(V37="","",IF(V37=R37,R38&amp;"",IF(V37=R38,R37&amp;"","")))</f>
        <v/>
      </c>
    </row>
    <row r="40" ht="17" customHeight="1">
      <c r="A40" s="41" t="inlineStr">
        <is>
          <t>Team 1</t>
        </is>
      </c>
      <c r="B40" s="42" t="inlineStr">
        <is>
          <t>Sharon &amp; Amit</t>
        </is>
      </c>
      <c r="C40" s="43" t="n"/>
      <c r="E40" s="36" t="inlineStr">
        <is>
          <t>CR-R2-05   ·   Wed 21 Oct   ·   19:04</t>
        </is>
      </c>
      <c r="F40" s="37" t="n"/>
      <c r="O40" s="43" t="n"/>
    </row>
    <row r="41" ht="17" customHeight="1">
      <c r="D41" s="45" t="n"/>
      <c r="E41" s="38">
        <f>IF(F41="","W CR-R1-08",IF(F41=B39,A39&amp;"",IF(F41=B40,A40&amp;"","W CR-R1-08")))</f>
        <v/>
      </c>
      <c r="F41" s="47" t="n"/>
      <c r="G41" s="40" t="n"/>
      <c r="O41" s="43" t="n"/>
      <c r="Q41" s="56" t="inlineStr">
        <is>
          <t>CR-3P-01   ·   3rd Place   ·   Mon 02 Nov   ·   18:00</t>
        </is>
      </c>
      <c r="R41" s="37" t="n"/>
      <c r="U41" s="57" t="inlineStr">
        <is>
          <t>🥉 3RD PLACE</t>
        </is>
      </c>
    </row>
    <row r="42" ht="17" customHeight="1">
      <c r="A42" s="36" t="inlineStr">
        <is>
          <t>CR-R1-09   ·   Fri 16 Oct   ·   19:03</t>
        </is>
      </c>
      <c r="B42" s="37" t="n"/>
      <c r="C42" s="43" t="n"/>
      <c r="D42" s="45" t="n"/>
      <c r="E42" s="41">
        <f>IF(F42="","W CR-R1-09",IF(F42=B43,A43&amp;"",IF(F42=B44,A44&amp;"","W CR-R1-09")))</f>
        <v/>
      </c>
      <c r="F42" s="46" t="n"/>
      <c r="G42" s="43" t="n"/>
      <c r="O42" s="43" t="n"/>
      <c r="Q42" s="38">
        <f>IF(R37="","L CR-R4-01",IF(R37=N21,M22&amp;"",IF(R37=N22,M21&amp;"","L CR-R4-01")))</f>
        <v/>
      </c>
      <c r="R42" s="30">
        <f>IF(R37="","",IF(R37=N21,N22&amp;"",IF(R37=N22,N21&amp;"","")))</f>
        <v/>
      </c>
      <c r="S42" s="50" t="n"/>
      <c r="T42" s="50" t="n"/>
      <c r="U42" s="58">
        <f>IF(V42="","W CR-3P-01",IF(V42=R42,Q42&amp;"",IF(V42=R43,Q43&amp;"","W CR-3P-01")))</f>
        <v/>
      </c>
      <c r="V42" s="59" t="n"/>
    </row>
    <row r="43" ht="17" customHeight="1">
      <c r="A43" s="38" t="inlineStr">
        <is>
          <t>Team 4</t>
        </is>
      </c>
      <c r="B43" s="39" t="inlineStr">
        <is>
          <t>Rajeesh C V &amp; Ibrahim</t>
        </is>
      </c>
      <c r="C43" s="48" t="n"/>
      <c r="G43" s="43" t="n"/>
      <c r="O43" s="43" t="n"/>
      <c r="Q43" s="41">
        <f>IF(R38="","L CR-R4-02",IF(R38=N53,M54&amp;"",IF(R38=N54,M53&amp;"","L CR-R4-02")))</f>
        <v/>
      </c>
      <c r="R43" s="60">
        <f>IF(R38="","",IF(R38=N53,N54&amp;"",IF(R38=N54,N53&amp;"","")))</f>
        <v/>
      </c>
    </row>
    <row r="44" ht="17" customHeight="1">
      <c r="A44" s="41" t="inlineStr">
        <is>
          <t>Team 3</t>
        </is>
      </c>
      <c r="B44" s="42" t="inlineStr">
        <is>
          <t>Alwin &amp; Nived</t>
        </is>
      </c>
      <c r="G44" s="43" t="n"/>
      <c r="I44" s="36" t="inlineStr">
        <is>
          <t>CR-R3-03   ·   Fri 23 Oct   ·   18:22</t>
        </is>
      </c>
      <c r="J44" s="37" t="n"/>
      <c r="O44" s="43" t="n"/>
    </row>
    <row r="45" ht="17" customHeight="1">
      <c r="H45" s="45" t="n"/>
      <c r="I45" s="38">
        <f>IF(J45="","W CR-R2-05",IF(J45=F41,E41&amp;"",IF(J45=F42,E42&amp;"","W CR-R2-05")))</f>
        <v/>
      </c>
      <c r="J45" s="47" t="n"/>
      <c r="K45" s="40" t="n"/>
      <c r="O45" s="43" t="n"/>
    </row>
    <row r="46" ht="17" customHeight="1">
      <c r="A46" s="36" t="inlineStr">
        <is>
          <t>CR-R1-10   ·   Fri 16 Oct   ·   18:21</t>
        </is>
      </c>
      <c r="B46" s="37" t="n"/>
      <c r="G46" s="43" t="n"/>
      <c r="H46" s="45" t="n"/>
      <c r="I46" s="41">
        <f>IF(J46="","W CR-R2-06",IF(J46=F49,E49&amp;"",IF(J46=F50,E50&amp;"","W CR-R2-06")))</f>
        <v/>
      </c>
      <c r="J46" s="46" t="n"/>
      <c r="K46" s="43" t="n"/>
      <c r="O46" s="43" t="n"/>
    </row>
    <row r="47" ht="17" customHeight="1">
      <c r="A47" s="38" t="inlineStr">
        <is>
          <t>Team 6</t>
        </is>
      </c>
      <c r="B47" s="39" t="inlineStr">
        <is>
          <t>Akhila &amp; Athira</t>
        </is>
      </c>
      <c r="C47" s="40" t="n"/>
      <c r="G47" s="43" t="n"/>
      <c r="K47" s="43" t="n"/>
      <c r="O47" s="43" t="n"/>
    </row>
    <row r="48" ht="17" customHeight="1">
      <c r="A48" s="41" t="inlineStr">
        <is>
          <t>Team 1</t>
        </is>
      </c>
      <c r="B48" s="42" t="inlineStr">
        <is>
          <t>Nivya Peter &amp; Nikitha</t>
        </is>
      </c>
      <c r="C48" s="43" t="n"/>
      <c r="E48" s="36" t="inlineStr">
        <is>
          <t>CR-R2-06   ·   Thu 22 Oct   ·   18:21</t>
        </is>
      </c>
      <c r="F48" s="37" t="n"/>
      <c r="G48" s="43" t="n"/>
      <c r="K48" s="43" t="n"/>
      <c r="O48" s="43" t="n"/>
    </row>
    <row r="49" ht="17" customHeight="1">
      <c r="D49" s="45" t="n"/>
      <c r="E49" s="38">
        <f>IF(F49="","W CR-R1-10",IF(F49=B47,A47&amp;"",IF(F49=B48,A48&amp;"","W CR-R1-10")))</f>
        <v/>
      </c>
      <c r="F49" s="47" t="n"/>
      <c r="G49" s="48" t="n"/>
      <c r="K49" s="43" t="n"/>
      <c r="O49" s="43" t="n"/>
    </row>
    <row r="50" ht="17" customHeight="1">
      <c r="A50" s="36" t="inlineStr">
        <is>
          <t>CR-R1-11   ·   Mon 19 Oct   ·   18:00</t>
        </is>
      </c>
      <c r="B50" s="37" t="n"/>
      <c r="C50" s="43" t="n"/>
      <c r="D50" s="45" t="n"/>
      <c r="E50" s="41">
        <f>IF(F50="","W CR-R1-11",IF(F50=B51,A51&amp;"",IF(F50=B52,A52&amp;"","W CR-R1-11")))</f>
        <v/>
      </c>
      <c r="F50" s="46" t="n"/>
      <c r="K50" s="43" t="n"/>
      <c r="O50" s="43" t="n"/>
    </row>
    <row r="51" ht="17" customHeight="1">
      <c r="A51" s="38" t="inlineStr">
        <is>
          <t>Team 4</t>
        </is>
      </c>
      <c r="B51" s="39" t="inlineStr">
        <is>
          <t>Samin &amp; Nikhil</t>
        </is>
      </c>
      <c r="C51" s="48" t="n"/>
      <c r="K51" s="43" t="n"/>
      <c r="O51" s="43" t="n"/>
    </row>
    <row r="52" ht="17" customHeight="1">
      <c r="A52" s="41" t="inlineStr">
        <is>
          <t>Team 2</t>
        </is>
      </c>
      <c r="B52" s="42" t="inlineStr">
        <is>
          <t>Tressy &amp; Shijil</t>
        </is>
      </c>
      <c r="K52" s="43" t="n"/>
      <c r="M52" s="36" t="inlineStr">
        <is>
          <t>CR-R4-02   ·   Mon 26 Oct   ·   18:00</t>
        </is>
      </c>
      <c r="N52" s="37" t="n"/>
      <c r="O52" s="43" t="n"/>
    </row>
    <row r="53" ht="17" customHeight="1">
      <c r="L53" s="45" t="n"/>
      <c r="M53" s="38">
        <f>IF(N53="","W CR-R3-03",IF(N53=J45,I45&amp;"",IF(N53=J46,I46&amp;"","W CR-R3-03")))</f>
        <v/>
      </c>
      <c r="N53" s="47" t="n"/>
      <c r="O53" s="48" t="n"/>
    </row>
    <row r="54" ht="17" customHeight="1">
      <c r="A54" s="36" t="inlineStr">
        <is>
          <t>CR-R1-12   ·   Mon 19 Oct   ·   18:42</t>
        </is>
      </c>
      <c r="B54" s="37" t="n"/>
      <c r="K54" s="43" t="n"/>
      <c r="L54" s="45" t="n"/>
      <c r="M54" s="41">
        <f>IF(N54="","W CR-R3-04",IF(N54=J61,I61&amp;"",IF(N54=J62,I62&amp;"","W CR-R3-04")))</f>
        <v/>
      </c>
      <c r="N54" s="46" t="n"/>
    </row>
    <row r="55" ht="17" customHeight="1">
      <c r="A55" s="38" t="inlineStr">
        <is>
          <t>Team 5</t>
        </is>
      </c>
      <c r="B55" s="39" t="inlineStr">
        <is>
          <t>Abhijith K V &amp; Divin</t>
        </is>
      </c>
      <c r="C55" s="40" t="n"/>
      <c r="K55" s="43" t="n"/>
    </row>
    <row r="56" ht="17" customHeight="1">
      <c r="A56" s="41" t="inlineStr">
        <is>
          <t>Team 3</t>
        </is>
      </c>
      <c r="B56" s="42" t="inlineStr">
        <is>
          <t>Nandana &amp; Sona</t>
        </is>
      </c>
      <c r="C56" s="43" t="n"/>
      <c r="E56" s="36" t="inlineStr">
        <is>
          <t>CR-R2-07   ·   Thu 22 Oct   ·   19:03</t>
        </is>
      </c>
      <c r="F56" s="37" t="n"/>
      <c r="K56" s="43" t="n"/>
    </row>
    <row r="57" ht="17" customHeight="1">
      <c r="D57" s="45" t="n"/>
      <c r="E57" s="38">
        <f>IF(F57="","W CR-R1-12",IF(F57=B55,A55&amp;"",IF(F57=B56,A56&amp;"","W CR-R1-12")))</f>
        <v/>
      </c>
      <c r="F57" s="47" t="n"/>
      <c r="G57" s="40" t="n"/>
      <c r="K57" s="43" t="n"/>
    </row>
    <row r="58" ht="17" customHeight="1">
      <c r="A58" s="36" t="inlineStr">
        <is>
          <t>CR-R1-13   ·   Wed 21 Oct   ·   18:00</t>
        </is>
      </c>
      <c r="B58" s="37" t="n"/>
      <c r="C58" s="43" t="n"/>
      <c r="D58" s="45" t="n"/>
      <c r="E58" s="41">
        <f>IF(F58="","W CR-R1-13",IF(F58=B59,A59&amp;"",IF(F58=B60,A60&amp;"","W CR-R1-13")))</f>
        <v/>
      </c>
      <c r="F58" s="46" t="n"/>
      <c r="G58" s="43" t="n"/>
      <c r="K58" s="43" t="n"/>
    </row>
    <row r="59" ht="17" customHeight="1">
      <c r="A59" s="38" t="inlineStr">
        <is>
          <t>Team 2</t>
        </is>
      </c>
      <c r="B59" s="39" t="inlineStr">
        <is>
          <t>Ray &amp; Boban</t>
        </is>
      </c>
      <c r="C59" s="48" t="n"/>
      <c r="G59" s="43" t="n"/>
      <c r="K59" s="43" t="n"/>
    </row>
    <row r="60" ht="17" customHeight="1">
      <c r="A60" s="41" t="inlineStr">
        <is>
          <t>Team 6</t>
        </is>
      </c>
      <c r="B60" s="42" t="inlineStr">
        <is>
          <t>Hrishikesh &amp; Jayakrishnan</t>
        </is>
      </c>
      <c r="G60" s="43" t="n"/>
      <c r="I60" s="36" t="inlineStr">
        <is>
          <t>CR-R3-04   ·   Fri 23 Oct   ·   19:04</t>
        </is>
      </c>
      <c r="J60" s="37" t="n"/>
      <c r="K60" s="43" t="n"/>
    </row>
    <row r="61" ht="17" customHeight="1">
      <c r="H61" s="45" t="n"/>
      <c r="I61" s="38">
        <f>IF(J61="","W CR-R2-07",IF(J61=F57,E57&amp;"",IF(J61=F58,E58&amp;"","W CR-R2-07")))</f>
        <v/>
      </c>
      <c r="J61" s="47" t="n"/>
      <c r="K61" s="48" t="n"/>
    </row>
    <row r="62" ht="17" customHeight="1">
      <c r="A62" s="36" t="inlineStr">
        <is>
          <t>CR-R1-14   ·   Mon 19 Oct   ·   18:21</t>
        </is>
      </c>
      <c r="B62" s="37" t="n"/>
      <c r="G62" s="43" t="n"/>
      <c r="H62" s="45" t="n"/>
      <c r="I62" s="41">
        <f>IF(J62="","W CR-R2-08",IF(J62=F65,E65&amp;"",IF(J62=F66,E66&amp;"","W CR-R2-08")))</f>
        <v/>
      </c>
      <c r="J62" s="46" t="n"/>
    </row>
    <row r="63" ht="17" customHeight="1">
      <c r="A63" s="38" t="inlineStr">
        <is>
          <t>Team 5</t>
        </is>
      </c>
      <c r="B63" s="39" t="inlineStr">
        <is>
          <t>Abhishek P S &amp; Vidhya M Robert</t>
        </is>
      </c>
      <c r="C63" s="40" t="n"/>
      <c r="G63" s="43" t="n"/>
    </row>
    <row r="64" ht="17" customHeight="1">
      <c r="A64" s="41" t="inlineStr">
        <is>
          <t>Team 6</t>
        </is>
      </c>
      <c r="B64" s="42" t="inlineStr">
        <is>
          <t>Niju &amp; Christo</t>
        </is>
      </c>
      <c r="C64" s="43" t="n"/>
      <c r="E64" s="36" t="inlineStr">
        <is>
          <t>CR-R2-08   ·   Wed 21 Oct   ·   18:43</t>
        </is>
      </c>
      <c r="F64" s="37" t="n"/>
      <c r="G64" s="43" t="n"/>
    </row>
    <row r="65" ht="17" customHeight="1">
      <c r="D65" s="45" t="n"/>
      <c r="E65" s="38">
        <f>IF(F65="","W CR-R1-14",IF(F65=B63,A63&amp;"",IF(F65=B64,A64&amp;"","W CR-R1-14")))</f>
        <v/>
      </c>
      <c r="F65" s="47" t="n"/>
      <c r="G65" s="48" t="n"/>
    </row>
    <row r="66" ht="17" customHeight="1">
      <c r="A66" s="36" t="inlineStr">
        <is>
          <t>CR-R1-15   ·   Mon 19 Oct   ·   19:03</t>
        </is>
      </c>
      <c r="B66" s="37" t="n"/>
      <c r="C66" s="43" t="n"/>
      <c r="D66" s="45" t="n"/>
      <c r="E66" s="41">
        <f>IF(F66="","W CR-R1-15",IF(F66=B67,A67&amp;"",IF(F66=B68,A68&amp;"","W CR-R1-15")))</f>
        <v/>
      </c>
      <c r="F66" s="46" t="n"/>
    </row>
    <row r="67" ht="17" customHeight="1">
      <c r="A67" s="38" t="inlineStr">
        <is>
          <t>Team 1</t>
        </is>
      </c>
      <c r="B67" s="39" t="inlineStr">
        <is>
          <t>Jithu &amp; Bilsy</t>
        </is>
      </c>
      <c r="C67" s="48" t="n"/>
    </row>
    <row r="68" ht="17" customHeight="1">
      <c r="A68" s="41" t="inlineStr">
        <is>
          <t>Team 4</t>
        </is>
      </c>
      <c r="B68" s="42" t="inlineStr">
        <is>
          <t>Deepanjali &amp; Anjana</t>
        </is>
      </c>
    </row>
    <row r="69" ht="17" customHeight="1"/>
    <row r="70" ht="17" customHeight="1"/>
    <row r="71" ht="17" customHeight="1"/>
  </sheetData>
  <mergeCells count="47">
    <mergeCell ref="A2:V2"/>
    <mergeCell ref="A30:B30"/>
    <mergeCell ref="E24:F24"/>
    <mergeCell ref="E5:F5"/>
    <mergeCell ref="M52:N52"/>
    <mergeCell ref="M5:N5"/>
    <mergeCell ref="E48:F48"/>
    <mergeCell ref="U36:V36"/>
    <mergeCell ref="A6:B6"/>
    <mergeCell ref="E8:F8"/>
    <mergeCell ref="E64:F64"/>
    <mergeCell ref="E4:F4"/>
    <mergeCell ref="A54:B54"/>
    <mergeCell ref="M20:N20"/>
    <mergeCell ref="U4:V5"/>
    <mergeCell ref="Q5:R5"/>
    <mergeCell ref="A46:B46"/>
    <mergeCell ref="A66:B66"/>
    <mergeCell ref="I28:J28"/>
    <mergeCell ref="A18:B18"/>
    <mergeCell ref="E40:F40"/>
    <mergeCell ref="U41:V41"/>
    <mergeCell ref="Q4:R4"/>
    <mergeCell ref="A50:B50"/>
    <mergeCell ref="A26:B26"/>
    <mergeCell ref="I12:J12"/>
    <mergeCell ref="I60:J60"/>
    <mergeCell ref="A1:V1"/>
    <mergeCell ref="A5:B5"/>
    <mergeCell ref="A42:B42"/>
    <mergeCell ref="I5:J5"/>
    <mergeCell ref="A14:B14"/>
    <mergeCell ref="Q36:R36"/>
    <mergeCell ref="A22:B22"/>
    <mergeCell ref="A4:B4"/>
    <mergeCell ref="A62:B62"/>
    <mergeCell ref="I44:J44"/>
    <mergeCell ref="A38:B38"/>
    <mergeCell ref="I4:J4"/>
    <mergeCell ref="E16:F16"/>
    <mergeCell ref="E32:F32"/>
    <mergeCell ref="U38:V38"/>
    <mergeCell ref="Q41:R41"/>
    <mergeCell ref="E56:F56"/>
    <mergeCell ref="M4:N4"/>
    <mergeCell ref="A58:B58"/>
    <mergeCell ref="A34:B34"/>
  </mergeCells>
  <dataValidations count="31">
    <dataValidation sqref="F10" showDropDown="0" showInputMessage="0" showErrorMessage="0" allowBlank="1" type="list">
      <formula1>$B$7:$B$8</formula1>
    </dataValidation>
    <dataValidation sqref="F17" showDropDown="0" showInputMessage="0" showErrorMessage="0" allowBlank="1" type="list">
      <formula1>$B$15:$B$16</formula1>
    </dataValidation>
    <dataValidation sqref="F18" showDropDown="0" showInputMessage="0" showErrorMessage="0" allowBlank="1" type="list">
      <formula1>$B$19:$B$20</formula1>
    </dataValidation>
    <dataValidation sqref="F25" showDropDown="0" showInputMessage="0" showErrorMessage="0" allowBlank="1" type="list">
      <formula1>$B$23:$B$24</formula1>
    </dataValidation>
    <dataValidation sqref="F26" showDropDown="0" showInputMessage="0" showErrorMessage="0" allowBlank="1" type="list">
      <formula1>$B$27:$B$28</formula1>
    </dataValidation>
    <dataValidation sqref="F33" showDropDown="0" showInputMessage="0" showErrorMessage="0" allowBlank="1" type="list">
      <formula1>$B$31:$B$32</formula1>
    </dataValidation>
    <dataValidation sqref="F34" showDropDown="0" showInputMessage="0" showErrorMessage="0" allowBlank="1" type="list">
      <formula1>$B$35:$B$36</formula1>
    </dataValidation>
    <dataValidation sqref="F41" showDropDown="0" showInputMessage="0" showErrorMessage="0" allowBlank="1" type="list">
      <formula1>$B$39:$B$40</formula1>
    </dataValidation>
    <dataValidation sqref="F42" showDropDown="0" showInputMessage="0" showErrorMessage="0" allowBlank="1" type="list">
      <formula1>$B$43:$B$44</formula1>
    </dataValidation>
    <dataValidation sqref="F49" showDropDown="0" showInputMessage="0" showErrorMessage="0" allowBlank="1" type="list">
      <formula1>$B$47:$B$48</formula1>
    </dataValidation>
    <dataValidation sqref="F50" showDropDown="0" showInputMessage="0" showErrorMessage="0" allowBlank="1" type="list">
      <formula1>$B$51:$B$52</formula1>
    </dataValidation>
    <dataValidation sqref="F57" showDropDown="0" showInputMessage="0" showErrorMessage="0" allowBlank="1" type="list">
      <formula1>$B$55:$B$56</formula1>
    </dataValidation>
    <dataValidation sqref="F58" showDropDown="0" showInputMessage="0" showErrorMessage="0" allowBlank="1" type="list">
      <formula1>$B$59:$B$60</formula1>
    </dataValidation>
    <dataValidation sqref="F65" showDropDown="0" showInputMessage="0" showErrorMessage="0" allowBlank="1" type="list">
      <formula1>$B$63:$B$64</formula1>
    </dataValidation>
    <dataValidation sqref="F66" showDropDown="0" showInputMessage="0" showErrorMessage="0" allowBlank="1" type="list">
      <formula1>$B$67:$B$68</formula1>
    </dataValidation>
    <dataValidation sqref="J13" showDropDown="0" showInputMessage="0" showErrorMessage="0" allowBlank="1" type="list">
      <formula1>$F$9:$F$10</formula1>
    </dataValidation>
    <dataValidation sqref="J14" showDropDown="0" showInputMessage="0" showErrorMessage="0" allowBlank="1" type="list">
      <formula1>$F$17:$F$18</formula1>
    </dataValidation>
    <dataValidation sqref="J29" showDropDown="0" showInputMessage="0" showErrorMessage="0" allowBlank="1" type="list">
      <formula1>$F$25:$F$26</formula1>
    </dataValidation>
    <dataValidation sqref="J30" showDropDown="0" showInputMessage="0" showErrorMessage="0" allowBlank="1" type="list">
      <formula1>$F$33:$F$34</formula1>
    </dataValidation>
    <dataValidation sqref="J45" showDropDown="0" showInputMessage="0" showErrorMessage="0" allowBlank="1" type="list">
      <formula1>$F$41:$F$42</formula1>
    </dataValidation>
    <dataValidation sqref="J46" showDropDown="0" showInputMessage="0" showErrorMessage="0" allowBlank="1" type="list">
      <formula1>$F$49:$F$50</formula1>
    </dataValidation>
    <dataValidation sqref="J61" showDropDown="0" showInputMessage="0" showErrorMessage="0" allowBlank="1" type="list">
      <formula1>$F$57:$F$58</formula1>
    </dataValidation>
    <dataValidation sqref="J62" showDropDown="0" showInputMessage="0" showErrorMessage="0" allowBlank="1" type="list">
      <formula1>$F$65:$F$66</formula1>
    </dataValidation>
    <dataValidation sqref="N21" showDropDown="0" showInputMessage="0" showErrorMessage="0" allowBlank="1" type="list">
      <formula1>$J$13:$J$14</formula1>
    </dataValidation>
    <dataValidation sqref="N22" showDropDown="0" showInputMessage="0" showErrorMessage="0" allowBlank="1" type="list">
      <formula1>$J$29:$J$30</formula1>
    </dataValidation>
    <dataValidation sqref="N53" showDropDown="0" showInputMessage="0" showErrorMessage="0" allowBlank="1" type="list">
      <formula1>$J$45:$J$46</formula1>
    </dataValidation>
    <dataValidation sqref="N54" showDropDown="0" showInputMessage="0" showErrorMessage="0" allowBlank="1" type="list">
      <formula1>$J$61:$J$62</formula1>
    </dataValidation>
    <dataValidation sqref="R37" showDropDown="0" showInputMessage="0" showErrorMessage="0" allowBlank="1" type="list">
      <formula1>$N$21:$N$22</formula1>
    </dataValidation>
    <dataValidation sqref="R38" showDropDown="0" showInputMessage="0" showErrorMessage="0" allowBlank="1" type="list">
      <formula1>$N$53:$N$54</formula1>
    </dataValidation>
    <dataValidation sqref="V37" showDropDown="0" showInputMessage="0" showErrorMessage="0" allowBlank="1" type="list">
      <formula1>$R$37:$R$38</formula1>
    </dataValidation>
    <dataValidation sqref="V42" showDropDown="0" showInputMessage="0" showErrorMessage="0" allowBlank="1" type="list">
      <formula1>$R$42:$R$43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58"/>
  <sheetViews>
    <sheetView showGridLines="0" workbookViewId="0">
      <pane ySplit="5" topLeftCell="A6" activePane="bottomLeft" state="frozen"/>
      <selection pane="bottomLeft" activeCell="A1" sqref="A1"/>
    </sheetView>
  </sheetViews>
  <sheetFormatPr baseColWidth="8" defaultRowHeight="15"/>
  <cols>
    <col width="12" customWidth="1" min="1" max="1"/>
    <col width="22" customWidth="1" min="2" max="2"/>
    <col width="2.5" customWidth="1" min="3" max="3"/>
    <col width="2.5" customWidth="1" min="4" max="4"/>
    <col width="12" customWidth="1" min="5" max="5"/>
    <col width="22" customWidth="1" min="6" max="6"/>
    <col width="2.5" customWidth="1" min="7" max="7"/>
    <col width="2.5" customWidth="1" min="8" max="8"/>
    <col width="12" customWidth="1" min="9" max="9"/>
    <col width="22" customWidth="1" min="10" max="10"/>
    <col width="2.5" customWidth="1" min="11" max="11"/>
    <col width="2.5" customWidth="1" min="12" max="12"/>
    <col width="12" customWidth="1" min="13" max="13"/>
    <col width="22" customWidth="1" min="14" max="14"/>
    <col width="2.5" customWidth="1" min="15" max="15"/>
    <col width="2.5" customWidth="1" min="16" max="16"/>
    <col width="12" customWidth="1" min="17" max="17"/>
    <col width="22" customWidth="1" min="18" max="18"/>
    <col width="2.5" customWidth="1" min="19" max="19"/>
    <col width="2.5" customWidth="1" min="20" max="20"/>
    <col width="12" customWidth="1" min="21" max="21"/>
    <col width="22" customWidth="1" min="22" max="22"/>
    <col width="2.5" customWidth="1" min="23" max="23"/>
    <col width="2.5" customWidth="1" min="24" max="24"/>
  </cols>
  <sheetData>
    <row r="1" ht="30" customHeight="1">
      <c r="A1" s="1" t="inlineStr">
        <is>
          <t>TT Men's Singles — Knockout Bracket   (22 entries)</t>
        </is>
      </c>
    </row>
    <row r="2">
      <c r="A2" s="2" t="inlineStr">
        <is>
          <t>Random draw, teammates kept apart in their first match.   Grey team cell = bye (starts in Round 2).</t>
        </is>
      </c>
    </row>
    <row r="4" ht="20" customHeight="1">
      <c r="A4" s="34" t="inlineStr">
        <is>
          <t>Round 1</t>
        </is>
      </c>
      <c r="E4" s="34" t="inlineStr">
        <is>
          <t>Round 2</t>
        </is>
      </c>
      <c r="I4" s="34" t="inlineStr">
        <is>
          <t>Quarter-finals</t>
        </is>
      </c>
      <c r="M4" s="34" t="inlineStr">
        <is>
          <t>Semi-finals</t>
        </is>
      </c>
      <c r="Q4" s="34" t="inlineStr">
        <is>
          <t>Final</t>
        </is>
      </c>
      <c r="U4" s="34" t="inlineStr">
        <is>
          <t>Champion</t>
        </is>
      </c>
    </row>
    <row r="5">
      <c r="A5" s="35" t="inlineStr">
        <is>
          <t>Thu 15 Oct  ·  6 matches</t>
        </is>
      </c>
      <c r="E5" s="35" t="inlineStr">
        <is>
          <t>Thu 15 Oct – Mon 19 Oct  ·  8 matches</t>
        </is>
      </c>
      <c r="I5" s="35" t="inlineStr">
        <is>
          <t>Mon 19 Oct – Thu 22 Oct  ·  4 matches</t>
        </is>
      </c>
      <c r="M5" s="35" t="inlineStr">
        <is>
          <t>Thu 22 Oct – Fri 23 Oct  ·  2 matches</t>
        </is>
      </c>
      <c r="Q5" s="35" t="inlineStr">
        <is>
          <t>Mon 02 Nov  ·  1 match</t>
        </is>
      </c>
    </row>
    <row r="6" ht="17" customHeight="1">
      <c r="A6" s="36" t="inlineStr">
        <is>
          <t>TMS-R1-01   ·   Thu 15 Oct   ·   18:00</t>
        </is>
      </c>
      <c r="B6" s="37" t="n"/>
    </row>
    <row r="7" ht="17" customHeight="1">
      <c r="A7" s="38" t="inlineStr">
        <is>
          <t>Team 1</t>
        </is>
      </c>
      <c r="B7" s="39" t="inlineStr">
        <is>
          <t>Bilal</t>
        </is>
      </c>
      <c r="C7" s="40" t="n"/>
    </row>
    <row r="8" ht="17" customHeight="1">
      <c r="A8" s="41" t="inlineStr">
        <is>
          <t>Team 3</t>
        </is>
      </c>
      <c r="B8" s="42" t="inlineStr">
        <is>
          <t>Rithik</t>
        </is>
      </c>
      <c r="C8" s="43" t="n"/>
      <c r="E8" s="36" t="inlineStr">
        <is>
          <t>TMS-R2-01   ·   Thu 15 Oct   ·   19:48</t>
        </is>
      </c>
      <c r="F8" s="37" t="n"/>
    </row>
    <row r="9" ht="17" customHeight="1">
      <c r="C9" s="43" t="n"/>
      <c r="E9" s="44" t="inlineStr">
        <is>
          <t>Team 4</t>
        </is>
      </c>
      <c r="F9" s="39" t="inlineStr">
        <is>
          <t>Sahil M I</t>
        </is>
      </c>
      <c r="G9" s="40" t="n"/>
    </row>
    <row r="10" ht="17" customHeight="1">
      <c r="D10" s="45" t="n"/>
      <c r="E10" s="41">
        <f>IF(F10="","W TMS-R1-01",IF(F10=B7,A7&amp;"",IF(F10=B8,A8&amp;"","W TMS-R1-01")))</f>
        <v/>
      </c>
      <c r="F10" s="46" t="n"/>
      <c r="G10" s="43" t="n"/>
    </row>
    <row r="11" ht="17" customHeight="1">
      <c r="G11" s="43" t="n"/>
      <c r="I11" s="36" t="inlineStr">
        <is>
          <t>TMS-R3-01   ·   Mon 19 Oct   ·   18:33</t>
        </is>
      </c>
      <c r="J11" s="37" t="n"/>
    </row>
    <row r="12" ht="17" customHeight="1">
      <c r="H12" s="45" t="n"/>
      <c r="I12" s="38">
        <f>IF(J12="","W TMS-R2-01",IF(J12=F9,E9&amp;"",IF(J12=F10,E10&amp;"","W TMS-R2-01")))</f>
        <v/>
      </c>
      <c r="J12" s="47" t="n"/>
      <c r="K12" s="40" t="n"/>
    </row>
    <row r="13" ht="17" customHeight="1">
      <c r="G13" s="43" t="n"/>
      <c r="H13" s="45" t="n"/>
      <c r="I13" s="41">
        <f>IF(J13="","W TMS-R2-02",IF(J13=F15,E15&amp;"",IF(J13=F16,E16&amp;"","W TMS-R2-02")))</f>
        <v/>
      </c>
      <c r="J13" s="46" t="n"/>
      <c r="K13" s="43" t="n"/>
    </row>
    <row r="14" ht="17" customHeight="1">
      <c r="E14" s="36" t="inlineStr">
        <is>
          <t>TMS-R2-02   ·   Fri 16 Oct   ·   18:18</t>
        </is>
      </c>
      <c r="F14" s="37" t="n"/>
      <c r="G14" s="43" t="n"/>
      <c r="K14" s="43" t="n"/>
    </row>
    <row r="15" ht="17" customHeight="1">
      <c r="E15" s="44" t="inlineStr">
        <is>
          <t>Team 6</t>
        </is>
      </c>
      <c r="F15" s="39" t="inlineStr">
        <is>
          <t>Musthaq</t>
        </is>
      </c>
      <c r="G15" s="48" t="n"/>
      <c r="K15" s="43" t="n"/>
    </row>
    <row r="16" ht="17" customHeight="1">
      <c r="E16" s="61" t="inlineStr">
        <is>
          <t>Team 3</t>
        </is>
      </c>
      <c r="F16" s="42" t="inlineStr">
        <is>
          <t>Prajith</t>
        </is>
      </c>
      <c r="K16" s="43" t="n"/>
    </row>
    <row r="17" ht="17" customHeight="1">
      <c r="K17" s="43" t="n"/>
    </row>
    <row r="18" ht="17" customHeight="1">
      <c r="A18" s="36" t="inlineStr">
        <is>
          <t>TMS-R1-02   ·   Thu 15 Oct   ·   18:45</t>
        </is>
      </c>
      <c r="B18" s="37" t="n"/>
      <c r="K18" s="43" t="n"/>
      <c r="M18" s="36" t="inlineStr">
        <is>
          <t>TMS-R4-01   ·   Thu 22 Oct   ·   18:30</t>
        </is>
      </c>
      <c r="N18" s="37" t="n"/>
    </row>
    <row r="19" ht="17" customHeight="1">
      <c r="A19" s="38" t="inlineStr">
        <is>
          <t>Team 3</t>
        </is>
      </c>
      <c r="B19" s="39" t="inlineStr">
        <is>
          <t>Nived</t>
        </is>
      </c>
      <c r="C19" s="40" t="n"/>
      <c r="L19" s="45" t="n"/>
      <c r="M19" s="38">
        <f>IF(N19="","W TMS-R3-01",IF(N19=J12,I12&amp;"",IF(N19=J13,I13&amp;"","W TMS-R3-01")))</f>
        <v/>
      </c>
      <c r="N19" s="47" t="n"/>
      <c r="O19" s="40" t="n"/>
    </row>
    <row r="20" ht="17" customHeight="1">
      <c r="A20" s="41" t="inlineStr">
        <is>
          <t>Team 4</t>
        </is>
      </c>
      <c r="B20" s="42" t="inlineStr">
        <is>
          <t>Arshal Abbas</t>
        </is>
      </c>
      <c r="C20" s="43" t="n"/>
      <c r="E20" s="36" t="inlineStr">
        <is>
          <t>TMS-R2-03   ·   Mon 19 Oct   ·   19:03</t>
        </is>
      </c>
      <c r="F20" s="37" t="n"/>
      <c r="K20" s="43" t="n"/>
      <c r="L20" s="45" t="n"/>
      <c r="M20" s="41">
        <f>IF(N20="","W TMS-R3-02",IF(N20=J25,I25&amp;"",IF(N20=J26,I26&amp;"","W TMS-R3-02")))</f>
        <v/>
      </c>
      <c r="N20" s="46" t="n"/>
      <c r="O20" s="43" t="n"/>
    </row>
    <row r="21" ht="17" customHeight="1">
      <c r="C21" s="43" t="n"/>
      <c r="E21" s="44" t="inlineStr">
        <is>
          <t>Team 1</t>
        </is>
      </c>
      <c r="F21" s="39" t="inlineStr">
        <is>
          <t>Amit</t>
        </is>
      </c>
      <c r="G21" s="40" t="n"/>
      <c r="K21" s="43" t="n"/>
      <c r="O21" s="43" t="n"/>
    </row>
    <row r="22" ht="17" customHeight="1">
      <c r="D22" s="45" t="n"/>
      <c r="E22" s="41">
        <f>IF(F22="","W TMS-R1-02",IF(F22=B19,A19&amp;"",IF(F22=B20,A20&amp;"","W TMS-R1-02")))</f>
        <v/>
      </c>
      <c r="F22" s="46" t="n"/>
      <c r="G22" s="43" t="n"/>
      <c r="K22" s="43" t="n"/>
      <c r="O22" s="43" t="n"/>
    </row>
    <row r="23" ht="17" customHeight="1">
      <c r="G23" s="43" t="n"/>
      <c r="K23" s="43" t="n"/>
      <c r="O23" s="43" t="n"/>
    </row>
    <row r="24" ht="17" customHeight="1">
      <c r="G24" s="43" t="n"/>
      <c r="I24" s="36" t="inlineStr">
        <is>
          <t>TMS-R3-02   ·   Wed 21 Oct   ·   19:36</t>
        </is>
      </c>
      <c r="J24" s="37" t="n"/>
      <c r="K24" s="43" t="n"/>
      <c r="O24" s="43" t="n"/>
    </row>
    <row r="25" ht="17" customHeight="1">
      <c r="H25" s="45" t="n"/>
      <c r="I25" s="38">
        <f>IF(J25="","W TMS-R2-03",IF(J25=F21,E21&amp;"",IF(J25=F22,E22&amp;"","W TMS-R2-03")))</f>
        <v/>
      </c>
      <c r="J25" s="47" t="n"/>
      <c r="K25" s="48" t="n"/>
      <c r="O25" s="43" t="n"/>
    </row>
    <row r="26" ht="17" customHeight="1">
      <c r="A26" s="36" t="inlineStr">
        <is>
          <t>TMS-R1-03   ·   Thu 15 Oct   ·   18:30</t>
        </is>
      </c>
      <c r="B26" s="37" t="n"/>
      <c r="G26" s="43" t="n"/>
      <c r="H26" s="45" t="n"/>
      <c r="I26" s="41">
        <f>IF(J26="","W TMS-R2-04",IF(J26=F29,E29&amp;"",IF(J26=F30,E30&amp;"","W TMS-R2-04")))</f>
        <v/>
      </c>
      <c r="J26" s="46" t="n"/>
      <c r="O26" s="43" t="n"/>
    </row>
    <row r="27" ht="17" customHeight="1">
      <c r="A27" s="38" t="inlineStr">
        <is>
          <t>Team 5</t>
        </is>
      </c>
      <c r="B27" s="39" t="inlineStr">
        <is>
          <t>Abhishek P S</t>
        </is>
      </c>
      <c r="C27" s="40" t="n"/>
      <c r="G27" s="43" t="n"/>
      <c r="O27" s="43" t="n"/>
    </row>
    <row r="28" ht="17" customHeight="1">
      <c r="A28" s="41" t="inlineStr">
        <is>
          <t>Team 1</t>
        </is>
      </c>
      <c r="B28" s="42" t="inlineStr">
        <is>
          <t>Joyel</t>
        </is>
      </c>
      <c r="C28" s="43" t="n"/>
      <c r="E28" s="36" t="inlineStr">
        <is>
          <t>TMS-R2-04   ·   Fri 16 Oct   ·   19:21</t>
        </is>
      </c>
      <c r="F28" s="37" t="n"/>
      <c r="G28" s="43" t="n"/>
      <c r="O28" s="43" t="n"/>
    </row>
    <row r="29" ht="17" customHeight="1">
      <c r="C29" s="43" t="n"/>
      <c r="E29" s="44" t="inlineStr">
        <is>
          <t>Team 5</t>
        </is>
      </c>
      <c r="F29" s="39" t="inlineStr">
        <is>
          <t>Nidheesh P V</t>
        </is>
      </c>
      <c r="G29" s="48" t="n"/>
      <c r="O29" s="43" t="n"/>
    </row>
    <row r="30" ht="17" customHeight="1">
      <c r="D30" s="45" t="n"/>
      <c r="E30" s="41">
        <f>IF(F30="","W TMS-R1-03",IF(F30=B27,A27&amp;"",IF(F30=B28,A28&amp;"","W TMS-R1-03")))</f>
        <v/>
      </c>
      <c r="F30" s="46" t="n"/>
      <c r="O30" s="43" t="n"/>
    </row>
    <row r="31" ht="17" customHeight="1">
      <c r="O31" s="43" t="n"/>
    </row>
    <row r="32" ht="17" customHeight="1">
      <c r="O32" s="43" t="n"/>
      <c r="Q32" s="36" t="inlineStr">
        <is>
          <t>TMS-R5-01   ·   Mon 02 Nov   ·   19:21</t>
        </is>
      </c>
      <c r="R32" s="37" t="n"/>
      <c r="U32" s="49" t="inlineStr">
        <is>
          <t>🏆 CHAMPION</t>
        </is>
      </c>
    </row>
    <row r="33" ht="17" customHeight="1">
      <c r="P33" s="45" t="n"/>
      <c r="Q33" s="38">
        <f>IF(R33="","W TMS-R4-01",IF(R33=N19,M19&amp;"",IF(R33=N20,M20&amp;"","W TMS-R4-01")))</f>
        <v/>
      </c>
      <c r="R33" s="47" t="n"/>
      <c r="S33" s="50" t="n"/>
      <c r="T33" s="50" t="n"/>
      <c r="U33" s="51">
        <f>IF(V33="","W TMS-R5-01",IF(V33=R33,Q33&amp;"",IF(V33=R34,Q34&amp;"","W TMS-R5-01")))</f>
        <v/>
      </c>
      <c r="V33" s="52" t="n"/>
    </row>
    <row r="34" ht="17" customHeight="1">
      <c r="A34" s="36" t="inlineStr">
        <is>
          <t>TMS-R1-04   ·   Thu 15 Oct   ·   18:15</t>
        </is>
      </c>
      <c r="B34" s="37" t="n"/>
      <c r="O34" s="43" t="n"/>
      <c r="P34" s="45" t="n"/>
      <c r="Q34" s="41">
        <f>IF(R34="","W TMS-R4-02",IF(R34=N47,M47&amp;"",IF(R34=N48,M48&amp;"","W TMS-R4-02")))</f>
        <v/>
      </c>
      <c r="R34" s="46" t="n"/>
      <c r="U34" s="53" t="inlineStr">
        <is>
          <t>🥈 RUNNER-UP</t>
        </is>
      </c>
    </row>
    <row r="35" ht="17" customHeight="1">
      <c r="A35" s="38" t="inlineStr">
        <is>
          <t>Team 1</t>
        </is>
      </c>
      <c r="B35" s="39" t="inlineStr">
        <is>
          <t>Deekshith</t>
        </is>
      </c>
      <c r="C35" s="40" t="n"/>
      <c r="O35" s="43" t="n"/>
      <c r="U35" s="54">
        <f>IF(V33="","L final",IF(V33=R33,Q34&amp;"",IF(V33=R34,Q33&amp;"","L final")))</f>
        <v/>
      </c>
      <c r="V35" s="55">
        <f>IF(V33="","",IF(V33=R33,R34&amp;"",IF(V33=R34,R33&amp;"","")))</f>
        <v/>
      </c>
    </row>
    <row r="36" ht="17" customHeight="1">
      <c r="A36" s="41" t="inlineStr">
        <is>
          <t>Team 6</t>
        </is>
      </c>
      <c r="B36" s="42" t="inlineStr">
        <is>
          <t>Ansam</t>
        </is>
      </c>
      <c r="C36" s="43" t="n"/>
      <c r="E36" s="36" t="inlineStr">
        <is>
          <t>TMS-R2-05   ·   Fri 16 Oct   ·   18:33</t>
        </is>
      </c>
      <c r="F36" s="37" t="n"/>
      <c r="O36" s="43" t="n"/>
    </row>
    <row r="37" ht="17" customHeight="1">
      <c r="C37" s="43" t="n"/>
      <c r="E37" s="44" t="inlineStr">
        <is>
          <t>Team 2</t>
        </is>
      </c>
      <c r="F37" s="39" t="inlineStr">
        <is>
          <t>Thomas</t>
        </is>
      </c>
      <c r="G37" s="40" t="n"/>
      <c r="O37" s="43" t="n"/>
      <c r="Q37" s="56" t="inlineStr">
        <is>
          <t>TMS-3P-01   ·   3rd Place   ·   Mon 02 Nov   ·   18:15</t>
        </is>
      </c>
      <c r="R37" s="37" t="n"/>
      <c r="U37" s="57" t="inlineStr">
        <is>
          <t>🥉 3RD PLACE</t>
        </is>
      </c>
    </row>
    <row r="38" ht="17" customHeight="1">
      <c r="D38" s="45" t="n"/>
      <c r="E38" s="41">
        <f>IF(F38="","W TMS-R1-04",IF(F38=B35,A35&amp;"",IF(F38=B36,A36&amp;"","W TMS-R1-04")))</f>
        <v/>
      </c>
      <c r="F38" s="46" t="n"/>
      <c r="G38" s="43" t="n"/>
      <c r="O38" s="43" t="n"/>
      <c r="Q38" s="38">
        <f>IF(R33="","L TMS-R4-01",IF(R33=N19,M20&amp;"",IF(R33=N20,M19&amp;"","L TMS-R4-01")))</f>
        <v/>
      </c>
      <c r="R38" s="30">
        <f>IF(R33="","",IF(R33=N19,N20&amp;"",IF(R33=N20,N19&amp;"","")))</f>
        <v/>
      </c>
      <c r="S38" s="50" t="n"/>
      <c r="T38" s="50" t="n"/>
      <c r="U38" s="58">
        <f>IF(V38="","W TMS-3P-01",IF(V38=R38,Q38&amp;"",IF(V38=R39,Q39&amp;"","W TMS-3P-01")))</f>
        <v/>
      </c>
      <c r="V38" s="59" t="n"/>
    </row>
    <row r="39" ht="17" customHeight="1">
      <c r="G39" s="43" t="n"/>
      <c r="I39" s="36" t="inlineStr">
        <is>
          <t>TMS-R3-03   ·   Wed 21 Oct   ·   18:51</t>
        </is>
      </c>
      <c r="J39" s="37" t="n"/>
      <c r="O39" s="43" t="n"/>
      <c r="Q39" s="41">
        <f>IF(R34="","L TMS-R4-02",IF(R34=N47,M48&amp;"",IF(R34=N48,M47&amp;"","L TMS-R4-02")))</f>
        <v/>
      </c>
      <c r="R39" s="60">
        <f>IF(R34="","",IF(R34=N47,N48&amp;"",IF(R34=N48,N47&amp;"","")))</f>
        <v/>
      </c>
    </row>
    <row r="40" ht="17" customHeight="1">
      <c r="H40" s="45" t="n"/>
      <c r="I40" s="38">
        <f>IF(J40="","W TMS-R2-05",IF(J40=F37,E37&amp;"",IF(J40=F38,E38&amp;"","W TMS-R2-05")))</f>
        <v/>
      </c>
      <c r="J40" s="47" t="n"/>
      <c r="K40" s="40" t="n"/>
      <c r="O40" s="43" t="n"/>
    </row>
    <row r="41" ht="17" customHeight="1">
      <c r="G41" s="43" t="n"/>
      <c r="H41" s="45" t="n"/>
      <c r="I41" s="41">
        <f>IF(J41="","W TMS-R2-06",IF(J41=F43,E43&amp;"",IF(J41=F44,E44&amp;"","W TMS-R2-06")))</f>
        <v/>
      </c>
      <c r="J41" s="46" t="n"/>
      <c r="K41" s="43" t="n"/>
      <c r="O41" s="43" t="n"/>
    </row>
    <row r="42" ht="17" customHeight="1">
      <c r="E42" s="36" t="inlineStr">
        <is>
          <t>TMS-R2-06   ·   Fri 16 Oct   ·   19:06</t>
        </is>
      </c>
      <c r="F42" s="37" t="n"/>
      <c r="G42" s="43" t="n"/>
      <c r="K42" s="43" t="n"/>
      <c r="O42" s="43" t="n"/>
    </row>
    <row r="43" ht="17" customHeight="1">
      <c r="E43" s="44" t="inlineStr">
        <is>
          <t>Team 1</t>
        </is>
      </c>
      <c r="F43" s="39" t="inlineStr">
        <is>
          <t>Vidhu</t>
        </is>
      </c>
      <c r="G43" s="48" t="n"/>
      <c r="K43" s="43" t="n"/>
      <c r="O43" s="43" t="n"/>
    </row>
    <row r="44" ht="17" customHeight="1">
      <c r="E44" s="61" t="inlineStr">
        <is>
          <t>Team 4</t>
        </is>
      </c>
      <c r="F44" s="42" t="inlineStr">
        <is>
          <t>Suryathejas</t>
        </is>
      </c>
      <c r="K44" s="43" t="n"/>
      <c r="O44" s="43" t="n"/>
    </row>
    <row r="45" ht="17" customHeight="1">
      <c r="K45" s="43" t="n"/>
      <c r="O45" s="43" t="n"/>
    </row>
    <row r="46" ht="17" customHeight="1">
      <c r="A46" s="36" t="inlineStr">
        <is>
          <t>TMS-R1-05   ·   Thu 15 Oct   ·   19:00</t>
        </is>
      </c>
      <c r="B46" s="37" t="n"/>
      <c r="K46" s="43" t="n"/>
      <c r="M46" s="36" t="inlineStr">
        <is>
          <t>TMS-R4-02   ·   Fri 23 Oct   ·   18:00</t>
        </is>
      </c>
      <c r="N46" s="37" t="n"/>
      <c r="O46" s="43" t="n"/>
    </row>
    <row r="47" ht="17" customHeight="1">
      <c r="A47" s="38" t="inlineStr">
        <is>
          <t>Team 4</t>
        </is>
      </c>
      <c r="B47" s="39" t="inlineStr">
        <is>
          <t>Rajeesh C V</t>
        </is>
      </c>
      <c r="C47" s="40" t="n"/>
      <c r="L47" s="45" t="n"/>
      <c r="M47" s="38">
        <f>IF(N47="","W TMS-R3-03",IF(N47=J40,I40&amp;"",IF(N47=J41,I41&amp;"","W TMS-R3-03")))</f>
        <v/>
      </c>
      <c r="N47" s="47" t="n"/>
      <c r="O47" s="48" t="n"/>
    </row>
    <row r="48" ht="17" customHeight="1">
      <c r="A48" s="41" t="inlineStr">
        <is>
          <t>Team 3</t>
        </is>
      </c>
      <c r="B48" s="42" t="inlineStr">
        <is>
          <t>Adwaith</t>
        </is>
      </c>
      <c r="C48" s="43" t="n"/>
      <c r="E48" s="36" t="inlineStr">
        <is>
          <t>TMS-R2-07   ·   Mon 19 Oct   ·   18:48</t>
        </is>
      </c>
      <c r="F48" s="37" t="n"/>
      <c r="K48" s="43" t="n"/>
      <c r="L48" s="45" t="n"/>
      <c r="M48" s="41">
        <f>IF(N48="","W TMS-R3-04",IF(N48=J53,I53&amp;"",IF(N48=J54,I54&amp;"","W TMS-R3-04")))</f>
        <v/>
      </c>
      <c r="N48" s="46" t="n"/>
    </row>
    <row r="49" ht="17" customHeight="1">
      <c r="C49" s="43" t="n"/>
      <c r="E49" s="44" t="inlineStr">
        <is>
          <t>Team 2</t>
        </is>
      </c>
      <c r="F49" s="39" t="inlineStr">
        <is>
          <t>Ray</t>
        </is>
      </c>
      <c r="G49" s="40" t="n"/>
      <c r="K49" s="43" t="n"/>
    </row>
    <row r="50" ht="17" customHeight="1">
      <c r="D50" s="45" t="n"/>
      <c r="E50" s="41">
        <f>IF(F50="","W TMS-R1-05",IF(F50=B47,A47&amp;"",IF(F50=B48,A48&amp;"","W TMS-R1-05")))</f>
        <v/>
      </c>
      <c r="F50" s="46" t="n"/>
      <c r="G50" s="43" t="n"/>
      <c r="K50" s="43" t="n"/>
    </row>
    <row r="51" ht="17" customHeight="1">
      <c r="G51" s="43" t="n"/>
      <c r="K51" s="43" t="n"/>
    </row>
    <row r="52" ht="17" customHeight="1">
      <c r="G52" s="43" t="n"/>
      <c r="I52" s="36" t="inlineStr">
        <is>
          <t>TMS-R3-04   ·   Thu 22 Oct   ·   18:00</t>
        </is>
      </c>
      <c r="J52" s="37" t="n"/>
      <c r="K52" s="43" t="n"/>
    </row>
    <row r="53" ht="17" customHeight="1">
      <c r="H53" s="45" t="n"/>
      <c r="I53" s="38">
        <f>IF(J53="","W TMS-R2-07",IF(J53=F49,E49&amp;"",IF(J53=F50,E50&amp;"","W TMS-R2-07")))</f>
        <v/>
      </c>
      <c r="J53" s="47" t="n"/>
      <c r="K53" s="48" t="n"/>
    </row>
    <row r="54" ht="17" customHeight="1">
      <c r="A54" s="36" t="inlineStr">
        <is>
          <t>TMS-R1-06   ·   Thu 15 Oct   ·   19:15</t>
        </is>
      </c>
      <c r="B54" s="37" t="n"/>
      <c r="G54" s="43" t="n"/>
      <c r="H54" s="45" t="n"/>
      <c r="I54" s="41">
        <f>IF(J54="","W TMS-R2-08",IF(J54=F57,E57&amp;"",IF(J54=F58,E58&amp;"","W TMS-R2-08")))</f>
        <v/>
      </c>
      <c r="J54" s="46" t="n"/>
    </row>
    <row r="55" ht="17" customHeight="1">
      <c r="A55" s="38" t="inlineStr">
        <is>
          <t>Team 4</t>
        </is>
      </c>
      <c r="B55" s="39" t="inlineStr">
        <is>
          <t>Subin</t>
        </is>
      </c>
      <c r="C55" s="40" t="n"/>
      <c r="G55" s="43" t="n"/>
    </row>
    <row r="56" ht="17" customHeight="1">
      <c r="A56" s="41" t="inlineStr">
        <is>
          <t>Team 1</t>
        </is>
      </c>
      <c r="B56" s="42" t="inlineStr">
        <is>
          <t>Rishikesh</t>
        </is>
      </c>
      <c r="C56" s="43" t="n"/>
      <c r="E56" s="36" t="inlineStr">
        <is>
          <t>TMS-R2-08   ·   Mon 19 Oct   ·   18:18</t>
        </is>
      </c>
      <c r="F56" s="37" t="n"/>
      <c r="G56" s="43" t="n"/>
    </row>
    <row r="57" ht="17" customHeight="1">
      <c r="C57" s="43" t="n"/>
      <c r="E57" s="44" t="inlineStr">
        <is>
          <t>Team 3</t>
        </is>
      </c>
      <c r="F57" s="39" t="inlineStr">
        <is>
          <t>Alwin</t>
        </is>
      </c>
      <c r="G57" s="48" t="n"/>
    </row>
    <row r="58" ht="17" customHeight="1">
      <c r="D58" s="45" t="n"/>
      <c r="E58" s="41">
        <f>IF(F58="","W TMS-R1-06",IF(F58=B55,A55&amp;"",IF(F58=B56,A56&amp;"","W TMS-R1-06")))</f>
        <v/>
      </c>
      <c r="F58" s="46" t="n"/>
    </row>
    <row r="59" ht="17" customHeight="1"/>
    <row r="60" ht="17" customHeight="1"/>
    <row r="61" ht="17" customHeight="1"/>
    <row r="62" ht="17" customHeight="1"/>
    <row r="63" ht="17" customHeight="1"/>
  </sheetData>
  <mergeCells count="38">
    <mergeCell ref="A2:V2"/>
    <mergeCell ref="U34:V34"/>
    <mergeCell ref="Q37:R37"/>
    <mergeCell ref="I11:J11"/>
    <mergeCell ref="E5:F5"/>
    <mergeCell ref="E42:F42"/>
    <mergeCell ref="M5:N5"/>
    <mergeCell ref="E14:F14"/>
    <mergeCell ref="E48:F48"/>
    <mergeCell ref="E8:F8"/>
    <mergeCell ref="A6:B6"/>
    <mergeCell ref="E4:F4"/>
    <mergeCell ref="A54:B54"/>
    <mergeCell ref="E20:F20"/>
    <mergeCell ref="U4:V5"/>
    <mergeCell ref="Q5:R5"/>
    <mergeCell ref="A46:B46"/>
    <mergeCell ref="E28:F28"/>
    <mergeCell ref="U32:V32"/>
    <mergeCell ref="A18:B18"/>
    <mergeCell ref="Q4:R4"/>
    <mergeCell ref="U37:V37"/>
    <mergeCell ref="A26:B26"/>
    <mergeCell ref="A1:V1"/>
    <mergeCell ref="I24:J24"/>
    <mergeCell ref="M46:N46"/>
    <mergeCell ref="A5:B5"/>
    <mergeCell ref="I5:J5"/>
    <mergeCell ref="E36:F36"/>
    <mergeCell ref="M18:N18"/>
    <mergeCell ref="I39:J39"/>
    <mergeCell ref="I52:J52"/>
    <mergeCell ref="A4:B4"/>
    <mergeCell ref="I4:J4"/>
    <mergeCell ref="Q32:R32"/>
    <mergeCell ref="E56:F56"/>
    <mergeCell ref="M4:N4"/>
    <mergeCell ref="A34:B34"/>
  </mergeCells>
  <dataValidations count="22">
    <dataValidation sqref="F10" showDropDown="0" showInputMessage="0" showErrorMessage="0" allowBlank="1" type="list">
      <formula1>$B$7:$B$8</formula1>
    </dataValidation>
    <dataValidation sqref="F22" showDropDown="0" showInputMessage="0" showErrorMessage="0" allowBlank="1" type="list">
      <formula1>$B$19:$B$20</formula1>
    </dataValidation>
    <dataValidation sqref="F30" showDropDown="0" showInputMessage="0" showErrorMessage="0" allowBlank="1" type="list">
      <formula1>$B$27:$B$28</formula1>
    </dataValidation>
    <dataValidation sqref="F38" showDropDown="0" showInputMessage="0" showErrorMessage="0" allowBlank="1" type="list">
      <formula1>$B$35:$B$36</formula1>
    </dataValidation>
    <dataValidation sqref="F50" showDropDown="0" showInputMessage="0" showErrorMessage="0" allowBlank="1" type="list">
      <formula1>$B$47:$B$48</formula1>
    </dataValidation>
    <dataValidation sqref="F58" showDropDown="0" showInputMessage="0" showErrorMessage="0" allowBlank="1" type="list">
      <formula1>$B$55:$B$56</formula1>
    </dataValidation>
    <dataValidation sqref="J12" showDropDown="0" showInputMessage="0" showErrorMessage="0" allowBlank="1" type="list">
      <formula1>$F$9:$F$10</formula1>
    </dataValidation>
    <dataValidation sqref="J13" showDropDown="0" showInputMessage="0" showErrorMessage="0" allowBlank="1" type="list">
      <formula1>$F$15:$F$16</formula1>
    </dataValidation>
    <dataValidation sqref="J25" showDropDown="0" showInputMessage="0" showErrorMessage="0" allowBlank="1" type="list">
      <formula1>$F$21:$F$22</formula1>
    </dataValidation>
    <dataValidation sqref="J26" showDropDown="0" showInputMessage="0" showErrorMessage="0" allowBlank="1" type="list">
      <formula1>$F$29:$F$30</formula1>
    </dataValidation>
    <dataValidation sqref="J40" showDropDown="0" showInputMessage="0" showErrorMessage="0" allowBlank="1" type="list">
      <formula1>$F$37:$F$38</formula1>
    </dataValidation>
    <dataValidation sqref="J41" showDropDown="0" showInputMessage="0" showErrorMessage="0" allowBlank="1" type="list">
      <formula1>$F$43:$F$44</formula1>
    </dataValidation>
    <dataValidation sqref="J53" showDropDown="0" showInputMessage="0" showErrorMessage="0" allowBlank="1" type="list">
      <formula1>$F$49:$F$50</formula1>
    </dataValidation>
    <dataValidation sqref="J54" showDropDown="0" showInputMessage="0" showErrorMessage="0" allowBlank="1" type="list">
      <formula1>$F$57:$F$58</formula1>
    </dataValidation>
    <dataValidation sqref="N19" showDropDown="0" showInputMessage="0" showErrorMessage="0" allowBlank="1" type="list">
      <formula1>$J$12:$J$13</formula1>
    </dataValidation>
    <dataValidation sqref="N20" showDropDown="0" showInputMessage="0" showErrorMessage="0" allowBlank="1" type="list">
      <formula1>$J$25:$J$26</formula1>
    </dataValidation>
    <dataValidation sqref="N47" showDropDown="0" showInputMessage="0" showErrorMessage="0" allowBlank="1" type="list">
      <formula1>$J$40:$J$41</formula1>
    </dataValidation>
    <dataValidation sqref="N48" showDropDown="0" showInputMessage="0" showErrorMessage="0" allowBlank="1" type="list">
      <formula1>$J$53:$J$54</formula1>
    </dataValidation>
    <dataValidation sqref="R33" showDropDown="0" showInputMessage="0" showErrorMessage="0" allowBlank="1" type="list">
      <formula1>$N$19:$N$20</formula1>
    </dataValidation>
    <dataValidation sqref="R34" showDropDown="0" showInputMessage="0" showErrorMessage="0" allowBlank="1" type="list">
      <formula1>$N$47:$N$48</formula1>
    </dataValidation>
    <dataValidation sqref="V33" showDropDown="0" showInputMessage="0" showErrorMessage="0" allowBlank="1" type="list">
      <formula1>$R$33:$R$34</formula1>
    </dataValidation>
    <dataValidation sqref="V38" showDropDown="0" showInputMessage="0" showErrorMessage="0" allowBlank="1" type="list">
      <formula1>$R$38:$R$39</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0"/>
  <sheetViews>
    <sheetView showGridLines="0" workbookViewId="0">
      <pane ySplit="5" topLeftCell="A6" activePane="bottomLeft" state="frozen"/>
      <selection pane="bottomLeft" activeCell="A1" sqref="A1"/>
    </sheetView>
  </sheetViews>
  <sheetFormatPr baseColWidth="8" defaultRowHeight="15"/>
  <cols>
    <col width="12" customWidth="1" min="1" max="1"/>
    <col width="22" customWidth="1" min="2" max="2"/>
    <col width="2.5" customWidth="1" min="3" max="3"/>
    <col width="2.5" customWidth="1" min="4" max="4"/>
    <col width="12" customWidth="1" min="5" max="5"/>
    <col width="22" customWidth="1" min="6" max="6"/>
    <col width="2.5" customWidth="1" min="7" max="7"/>
    <col width="2.5" customWidth="1" min="8" max="8"/>
    <col width="12" customWidth="1" min="9" max="9"/>
    <col width="22" customWidth="1" min="10" max="10"/>
    <col width="2.5" customWidth="1" min="11" max="11"/>
    <col width="2.5" customWidth="1" min="12" max="12"/>
    <col width="12" customWidth="1" min="13" max="13"/>
    <col width="22" customWidth="1" min="14" max="14"/>
    <col width="2.5" customWidth="1" min="15" max="15"/>
    <col width="2.5" customWidth="1" min="16" max="16"/>
  </cols>
  <sheetData>
    <row r="1" ht="30" customHeight="1">
      <c r="A1" s="1" t="inlineStr">
        <is>
          <t>TT Women's Singles — Knockout Bracket   (8 entries)</t>
        </is>
      </c>
    </row>
    <row r="2">
      <c r="A2" s="2" t="inlineStr">
        <is>
          <t>Random draw, teammates kept apart in their first match.   Grey team cell = bye (starts in Round 2).</t>
        </is>
      </c>
    </row>
    <row r="4" ht="20" customHeight="1">
      <c r="A4" s="34" t="inlineStr">
        <is>
          <t>Quarter-finals</t>
        </is>
      </c>
      <c r="E4" s="34" t="inlineStr">
        <is>
          <t>Semi-finals</t>
        </is>
      </c>
      <c r="I4" s="34" t="inlineStr">
        <is>
          <t>Final</t>
        </is>
      </c>
      <c r="M4" s="34" t="inlineStr">
        <is>
          <t>Champion</t>
        </is>
      </c>
    </row>
    <row r="5">
      <c r="A5" s="35" t="inlineStr">
        <is>
          <t>Wed 21 Oct – Thu 22 Oct  ·  4 matches</t>
        </is>
      </c>
      <c r="E5" s="35" t="inlineStr">
        <is>
          <t>Fri 23 Oct  ·  2 matches</t>
        </is>
      </c>
      <c r="I5" s="35" t="inlineStr">
        <is>
          <t>Mon 02 Nov  ·  1 match</t>
        </is>
      </c>
    </row>
    <row r="6" ht="17" customHeight="1">
      <c r="A6" s="36" t="inlineStr">
        <is>
          <t>TWS-R1-01   ·   Wed 21 Oct   ·   18:36</t>
        </is>
      </c>
      <c r="B6" s="37" t="n"/>
    </row>
    <row r="7" ht="17" customHeight="1">
      <c r="A7" s="38" t="inlineStr">
        <is>
          <t>Team 6</t>
        </is>
      </c>
      <c r="B7" s="39" t="inlineStr">
        <is>
          <t>Ashna</t>
        </is>
      </c>
      <c r="C7" s="40" t="n"/>
    </row>
    <row r="8" ht="17" customHeight="1">
      <c r="A8" s="41" t="inlineStr">
        <is>
          <t>Team 1</t>
        </is>
      </c>
      <c r="B8" s="42" t="inlineStr">
        <is>
          <t>Neethu</t>
        </is>
      </c>
      <c r="C8" s="43" t="n"/>
      <c r="E8" s="36" t="inlineStr">
        <is>
          <t>TWS-R2-01   ·   Fri 23 Oct   ·   18:15</t>
        </is>
      </c>
      <c r="F8" s="37" t="n"/>
    </row>
    <row r="9" ht="17" customHeight="1">
      <c r="D9" s="45" t="n"/>
      <c r="E9" s="38">
        <f>IF(F9="","W TWS-R1-01",IF(F9=B7,A7&amp;"",IF(F9=B8,A8&amp;"","W TWS-R1-01")))</f>
        <v/>
      </c>
      <c r="F9" s="47" t="n"/>
      <c r="G9" s="40" t="n"/>
    </row>
    <row r="10" ht="17" customHeight="1">
      <c r="A10" s="36" t="inlineStr">
        <is>
          <t>TWS-R1-02   ·   Wed 21 Oct   ·   19:21</t>
        </is>
      </c>
      <c r="B10" s="37" t="n"/>
      <c r="C10" s="43" t="n"/>
      <c r="D10" s="45" t="n"/>
      <c r="E10" s="41">
        <f>IF(F10="","W TWS-R1-02",IF(F10=B11,A11&amp;"",IF(F10=B12,A12&amp;"","W TWS-R1-02")))</f>
        <v/>
      </c>
      <c r="F10" s="46" t="n"/>
      <c r="G10" s="43" t="n"/>
    </row>
    <row r="11" ht="17" customHeight="1">
      <c r="A11" s="38" t="inlineStr">
        <is>
          <t>Team 5</t>
        </is>
      </c>
      <c r="B11" s="39" t="inlineStr">
        <is>
          <t>Sradha Santhosh</t>
        </is>
      </c>
      <c r="C11" s="48" t="n"/>
      <c r="G11" s="43" t="n"/>
    </row>
    <row r="12" ht="17" customHeight="1">
      <c r="A12" s="41" t="inlineStr">
        <is>
          <t>Team 4</t>
        </is>
      </c>
      <c r="B12" s="42" t="inlineStr">
        <is>
          <t>Deepanjali</t>
        </is>
      </c>
      <c r="G12" s="43" t="n"/>
      <c r="I12" s="36" t="inlineStr">
        <is>
          <t>TWS-R3-01   ·   Mon 02 Nov   ·   19:06</t>
        </is>
      </c>
      <c r="J12" s="37" t="n"/>
      <c r="M12" s="49" t="inlineStr">
        <is>
          <t>🏆 CHAMPION</t>
        </is>
      </c>
    </row>
    <row r="13" ht="17" customHeight="1">
      <c r="H13" s="45" t="n"/>
      <c r="I13" s="38">
        <f>IF(J13="","W TWS-R2-01",IF(J13=F9,E9&amp;"",IF(J13=F10,E10&amp;"","W TWS-R2-01")))</f>
        <v/>
      </c>
      <c r="J13" s="47" t="n"/>
      <c r="K13" s="50" t="n"/>
      <c r="L13" s="50" t="n"/>
      <c r="M13" s="51">
        <f>IF(N13="","W TWS-R3-01",IF(N13=J13,I13&amp;"",IF(N13=J14,I14&amp;"","W TWS-R3-01")))</f>
        <v/>
      </c>
      <c r="N13" s="52" t="n"/>
    </row>
    <row r="14" ht="17" customHeight="1">
      <c r="A14" s="36" t="inlineStr">
        <is>
          <t>TWS-R1-03   ·   Wed 21 Oct   ·   19:06</t>
        </is>
      </c>
      <c r="B14" s="37" t="n"/>
      <c r="G14" s="43" t="n"/>
      <c r="H14" s="45" t="n"/>
      <c r="I14" s="41">
        <f>IF(J14="","W TWS-R2-02",IF(J14=F17,E17&amp;"",IF(J14=F18,E18&amp;"","W TWS-R2-02")))</f>
        <v/>
      </c>
      <c r="J14" s="46" t="n"/>
      <c r="M14" s="53" t="inlineStr">
        <is>
          <t>🥈 RUNNER-UP</t>
        </is>
      </c>
    </row>
    <row r="15" ht="17" customHeight="1">
      <c r="A15" s="38" t="inlineStr">
        <is>
          <t>Team 6</t>
        </is>
      </c>
      <c r="B15" s="39" t="inlineStr">
        <is>
          <t>Akhila</t>
        </is>
      </c>
      <c r="C15" s="40" t="n"/>
      <c r="G15" s="43" t="n"/>
      <c r="M15" s="54">
        <f>IF(N13="","L final",IF(N13=J13,I14&amp;"",IF(N13=J14,I13&amp;"","L final")))</f>
        <v/>
      </c>
      <c r="N15" s="55">
        <f>IF(N13="","",IF(N13=J13,J14&amp;"",IF(N13=J14,J13&amp;"","")))</f>
        <v/>
      </c>
    </row>
    <row r="16" ht="17" customHeight="1">
      <c r="A16" s="41" t="inlineStr">
        <is>
          <t>Team 3</t>
        </is>
      </c>
      <c r="B16" s="42" t="inlineStr">
        <is>
          <t>Anan</t>
        </is>
      </c>
      <c r="C16" s="43" t="n"/>
      <c r="E16" s="36" t="inlineStr">
        <is>
          <t>TWS-R2-02   ·   Fri 23 Oct   ·   18:50</t>
        </is>
      </c>
      <c r="F16" s="37" t="n"/>
      <c r="G16" s="43" t="n"/>
    </row>
    <row r="17" ht="17" customHeight="1">
      <c r="D17" s="45" t="n"/>
      <c r="E17" s="38">
        <f>IF(F17="","W TWS-R1-03",IF(F17=B15,A15&amp;"",IF(F17=B16,A16&amp;"","W TWS-R1-03")))</f>
        <v/>
      </c>
      <c r="F17" s="47" t="n"/>
      <c r="G17" s="48" t="n"/>
      <c r="I17" s="56" t="inlineStr">
        <is>
          <t>TWS-3P-01   ·   3rd Place   ·   Mon 02 Nov   ·   18:00</t>
        </is>
      </c>
      <c r="J17" s="37" t="n"/>
      <c r="M17" s="57" t="inlineStr">
        <is>
          <t>🥉 3RD PLACE</t>
        </is>
      </c>
    </row>
    <row r="18" ht="17" customHeight="1">
      <c r="A18" s="36" t="inlineStr">
        <is>
          <t>TWS-R1-04   ·   Thu 22 Oct   ·   18:15</t>
        </is>
      </c>
      <c r="B18" s="37" t="n"/>
      <c r="C18" s="43" t="n"/>
      <c r="D18" s="45" t="n"/>
      <c r="E18" s="41">
        <f>IF(F18="","W TWS-R1-04",IF(F18=B19,A19&amp;"",IF(F18=B20,A20&amp;"","W TWS-R1-04")))</f>
        <v/>
      </c>
      <c r="F18" s="46" t="n"/>
      <c r="I18" s="38">
        <f>IF(J13="","L TWS-R2-01",IF(J13=F9,E10&amp;"",IF(J13=F10,E9&amp;"","L TWS-R2-01")))</f>
        <v/>
      </c>
      <c r="J18" s="30">
        <f>IF(J13="","",IF(J13=F9,F10&amp;"",IF(J13=F10,F9&amp;"","")))</f>
        <v/>
      </c>
      <c r="K18" s="50" t="n"/>
      <c r="L18" s="50" t="n"/>
      <c r="M18" s="58">
        <f>IF(N18="","W TWS-3P-01",IF(N18=J18,I18&amp;"",IF(N18=J19,I19&amp;"","W TWS-3P-01")))</f>
        <v/>
      </c>
      <c r="N18" s="59" t="n"/>
    </row>
    <row r="19" ht="17" customHeight="1">
      <c r="A19" s="38" t="inlineStr">
        <is>
          <t>Team 4</t>
        </is>
      </c>
      <c r="B19" s="39" t="inlineStr">
        <is>
          <t>Aparna</t>
        </is>
      </c>
      <c r="C19" s="48" t="n"/>
      <c r="I19" s="41">
        <f>IF(J14="","L TWS-R2-02",IF(J14=F17,E18&amp;"",IF(J14=F18,E17&amp;"","L TWS-R2-02")))</f>
        <v/>
      </c>
      <c r="J19" s="60">
        <f>IF(J14="","",IF(J14=F17,F18&amp;"",IF(J14=F18,F17&amp;"","")))</f>
        <v/>
      </c>
    </row>
    <row r="20" ht="17" customHeight="1">
      <c r="A20" s="41" t="inlineStr">
        <is>
          <t>Team 1</t>
        </is>
      </c>
      <c r="B20" s="42" t="inlineStr">
        <is>
          <t>Nivya Mathew</t>
        </is>
      </c>
    </row>
    <row r="21" ht="17" customHeight="1"/>
    <row r="22" ht="17" customHeight="1"/>
    <row r="23" ht="17" customHeight="1"/>
  </sheetData>
  <mergeCells count="20">
    <mergeCell ref="E5:F5"/>
    <mergeCell ref="E8:F8"/>
    <mergeCell ref="A6:B6"/>
    <mergeCell ref="A1:N1"/>
    <mergeCell ref="E4:F4"/>
    <mergeCell ref="A18:B18"/>
    <mergeCell ref="M4:N5"/>
    <mergeCell ref="I12:J12"/>
    <mergeCell ref="M12:N12"/>
    <mergeCell ref="A2:N2"/>
    <mergeCell ref="A5:B5"/>
    <mergeCell ref="I5:J5"/>
    <mergeCell ref="A14:B14"/>
    <mergeCell ref="I17:J17"/>
    <mergeCell ref="A4:B4"/>
    <mergeCell ref="M17:N17"/>
    <mergeCell ref="I4:J4"/>
    <mergeCell ref="E16:F16"/>
    <mergeCell ref="A10:B10"/>
    <mergeCell ref="M14:N14"/>
  </mergeCells>
  <dataValidations count="8">
    <dataValidation sqref="F9" showDropDown="0" showInputMessage="0" showErrorMessage="0" allowBlank="1" type="list">
      <formula1>$B$7:$B$8</formula1>
    </dataValidation>
    <dataValidation sqref="F10" showDropDown="0" showInputMessage="0" showErrorMessage="0" allowBlank="1" type="list">
      <formula1>$B$11:$B$12</formula1>
    </dataValidation>
    <dataValidation sqref="F17" showDropDown="0" showInputMessage="0" showErrorMessage="0" allowBlank="1" type="list">
      <formula1>$B$15:$B$16</formula1>
    </dataValidation>
    <dataValidation sqref="F18" showDropDown="0" showInputMessage="0" showErrorMessage="0" allowBlank="1" type="list">
      <formula1>$B$19:$B$20</formula1>
    </dataValidation>
    <dataValidation sqref="J13" showDropDown="0" showInputMessage="0" showErrorMessage="0" allowBlank="1" type="list">
      <formula1>$F$9:$F$10</formula1>
    </dataValidation>
    <dataValidation sqref="J14" showDropDown="0" showInputMessage="0" showErrorMessage="0" allowBlank="1" type="list">
      <formula1>$F$17:$F$18</formula1>
    </dataValidation>
    <dataValidation sqref="N13" showDropDown="0" showInputMessage="0" showErrorMessage="0" allowBlank="1" type="list">
      <formula1>$J$13:$J$14</formula1>
    </dataValidation>
    <dataValidation sqref="N18" showDropDown="0" showInputMessage="0" showErrorMessage="0" allowBlank="1" type="list">
      <formula1>$J$18:$J$19</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34"/>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2.5" customWidth="1" min="3" max="3"/>
    <col width="2.5" customWidth="1" min="4" max="4"/>
    <col width="12" customWidth="1" min="5" max="5"/>
    <col width="30" customWidth="1" min="6" max="6"/>
    <col width="2.5" customWidth="1" min="7" max="7"/>
    <col width="2.5" customWidth="1" min="8" max="8"/>
    <col width="12" customWidth="1" min="9" max="9"/>
    <col width="30" customWidth="1" min="10" max="10"/>
    <col width="2.5" customWidth="1" min="11" max="11"/>
    <col width="2.5" customWidth="1" min="12" max="12"/>
    <col width="12" customWidth="1" min="13" max="13"/>
    <col width="30" customWidth="1" min="14" max="14"/>
    <col width="2.5" customWidth="1" min="15" max="15"/>
    <col width="2.5" customWidth="1" min="16" max="16"/>
    <col width="12" customWidth="1" min="17" max="17"/>
    <col width="30" customWidth="1" min="18" max="18"/>
    <col width="2.5" customWidth="1" min="19" max="19"/>
    <col width="2.5" customWidth="1" min="20" max="20"/>
  </cols>
  <sheetData>
    <row r="1" ht="30" customHeight="1">
      <c r="A1" s="1" t="inlineStr">
        <is>
          <t>TT Men's Doubles — Knockout Bracket   (13 entries)</t>
        </is>
      </c>
    </row>
    <row r="2">
      <c r="A2" s="2" t="inlineStr">
        <is>
          <t>Random draw, teammates kept apart in their first match.   Grey team cell = bye (starts in Round 2).</t>
        </is>
      </c>
    </row>
    <row r="4" ht="20" customHeight="1">
      <c r="A4" s="34" t="inlineStr">
        <is>
          <t>Round 1</t>
        </is>
      </c>
      <c r="E4" s="34" t="inlineStr">
        <is>
          <t>Quarter-finals</t>
        </is>
      </c>
      <c r="I4" s="34" t="inlineStr">
        <is>
          <t>Semi-finals</t>
        </is>
      </c>
      <c r="M4" s="34" t="inlineStr">
        <is>
          <t>Final</t>
        </is>
      </c>
      <c r="Q4" s="34" t="inlineStr">
        <is>
          <t>Champion</t>
        </is>
      </c>
    </row>
    <row r="5">
      <c r="A5" s="35" t="inlineStr">
        <is>
          <t>Thu 15 Oct – Mon 19 Oct  ·  5 matches</t>
        </is>
      </c>
      <c r="E5" s="35" t="inlineStr">
        <is>
          <t>Mon 19 Oct – Wed 21 Oct  ·  4 matches</t>
        </is>
      </c>
      <c r="I5" s="35" t="inlineStr">
        <is>
          <t>Thu 22 Oct  ·  2 matches</t>
        </is>
      </c>
      <c r="M5" s="35" t="inlineStr">
        <is>
          <t>Mon 02 Nov  ·  1 match</t>
        </is>
      </c>
    </row>
    <row r="6" ht="17" customHeight="1">
      <c r="A6" s="36" t="inlineStr">
        <is>
          <t>TMD-R1-01   ·   Thu 15 Oct   ·   19:30</t>
        </is>
      </c>
      <c r="B6" s="37" t="n"/>
    </row>
    <row r="7" ht="17" customHeight="1">
      <c r="A7" s="38" t="inlineStr">
        <is>
          <t>Team 6</t>
        </is>
      </c>
      <c r="B7" s="39" t="inlineStr">
        <is>
          <t>Ansam &amp; Musthaq</t>
        </is>
      </c>
      <c r="C7" s="40" t="n"/>
    </row>
    <row r="8" ht="17" customHeight="1">
      <c r="A8" s="41" t="inlineStr">
        <is>
          <t>Team 2</t>
        </is>
      </c>
      <c r="B8" s="42" t="inlineStr">
        <is>
          <t>Bonny &amp; Akshay</t>
        </is>
      </c>
      <c r="C8" s="43" t="n"/>
      <c r="E8" s="36" t="inlineStr">
        <is>
          <t>TMD-R2-01   ·   Mon 19 Oct   ·   19:18</t>
        </is>
      </c>
      <c r="F8" s="37" t="n"/>
    </row>
    <row r="9" ht="17" customHeight="1">
      <c r="C9" s="43" t="n"/>
      <c r="E9" s="44" t="inlineStr">
        <is>
          <t>Team 2</t>
        </is>
      </c>
      <c r="F9" s="39" t="inlineStr">
        <is>
          <t>Thomas &amp; Ray</t>
        </is>
      </c>
      <c r="G9" s="40" t="n"/>
    </row>
    <row r="10" ht="17" customHeight="1">
      <c r="D10" s="45" t="n"/>
      <c r="E10" s="41">
        <f>IF(F10="","W TMD-R1-01",IF(F10=B7,A7&amp;"",IF(F10=B8,A8&amp;"","W TMD-R1-01")))</f>
        <v/>
      </c>
      <c r="F10" s="46" t="n"/>
      <c r="G10" s="43" t="n"/>
    </row>
    <row r="11" ht="17" customHeight="1">
      <c r="G11" s="43" t="n"/>
    </row>
    <row r="12" ht="17" customHeight="1">
      <c r="G12" s="43" t="n"/>
      <c r="I12" s="36" t="inlineStr">
        <is>
          <t>TMD-R3-01   ·   Thu 22 Oct   ·   19:43</t>
        </is>
      </c>
      <c r="J12" s="37" t="n"/>
    </row>
    <row r="13" ht="17" customHeight="1">
      <c r="H13" s="45" t="n"/>
      <c r="I13" s="38">
        <f>IF(J13="","W TMD-R2-01",IF(J13=F9,E9&amp;"",IF(J13=F10,E10&amp;"","W TMD-R2-01")))</f>
        <v/>
      </c>
      <c r="J13" s="47" t="n"/>
      <c r="K13" s="40" t="n"/>
    </row>
    <row r="14" ht="17" customHeight="1">
      <c r="A14" s="36" t="inlineStr">
        <is>
          <t>TMD-R1-02   ·   Fri 16 Oct   ·   18:00</t>
        </is>
      </c>
      <c r="B14" s="37" t="n"/>
      <c r="G14" s="43" t="n"/>
      <c r="H14" s="45" t="n"/>
      <c r="I14" s="41">
        <f>IF(J14="","W TMD-R2-02",IF(J14=F17,E17&amp;"",IF(J14=F18,E18&amp;"","W TMD-R2-02")))</f>
        <v/>
      </c>
      <c r="J14" s="46" t="n"/>
      <c r="K14" s="43" t="n"/>
    </row>
    <row r="15" ht="17" customHeight="1">
      <c r="A15" s="38" t="inlineStr">
        <is>
          <t>Team 3</t>
        </is>
      </c>
      <c r="B15" s="39" t="inlineStr">
        <is>
          <t>Adwaith &amp; Alwin</t>
        </is>
      </c>
      <c r="C15" s="40" t="n"/>
      <c r="G15" s="43" t="n"/>
      <c r="K15" s="43" t="n"/>
    </row>
    <row r="16" ht="17" customHeight="1">
      <c r="A16" s="41" t="inlineStr">
        <is>
          <t>Team 1</t>
        </is>
      </c>
      <c r="B16" s="42" t="inlineStr">
        <is>
          <t>Rishikesh &amp; Amit</t>
        </is>
      </c>
      <c r="C16" s="43" t="n"/>
      <c r="E16" s="36" t="inlineStr">
        <is>
          <t>TMD-R2-02   ·   Mon 19 Oct   ·   19:36</t>
        </is>
      </c>
      <c r="F16" s="37" t="n"/>
      <c r="G16" s="43" t="n"/>
      <c r="K16" s="43" t="n"/>
    </row>
    <row r="17" ht="17" customHeight="1">
      <c r="D17" s="45" t="n"/>
      <c r="E17" s="38">
        <f>IF(F17="","W TMD-R1-02",IF(F17=B15,A15&amp;"",IF(F17=B16,A16&amp;"","W TMD-R1-02")))</f>
        <v/>
      </c>
      <c r="F17" s="47" t="n"/>
      <c r="G17" s="48" t="n"/>
      <c r="K17" s="43" t="n"/>
    </row>
    <row r="18" ht="17" customHeight="1">
      <c r="A18" s="36" t="inlineStr">
        <is>
          <t>TMD-R1-03   ·   Fri 16 Oct   ·   18:48</t>
        </is>
      </c>
      <c r="B18" s="37" t="n"/>
      <c r="C18" s="43" t="n"/>
      <c r="D18" s="45" t="n"/>
      <c r="E18" s="41">
        <f>IF(F18="","W TMD-R1-03",IF(F18=B19,A19&amp;"",IF(F18=B20,A20&amp;"","W TMD-R1-03")))</f>
        <v/>
      </c>
      <c r="F18" s="46" t="n"/>
      <c r="K18" s="43" t="n"/>
    </row>
    <row r="19" ht="17" customHeight="1">
      <c r="A19" s="38" t="inlineStr">
        <is>
          <t>Team 4</t>
        </is>
      </c>
      <c r="B19" s="39" t="inlineStr">
        <is>
          <t>Subin &amp; Sahil M I</t>
        </is>
      </c>
      <c r="C19" s="48" t="n"/>
      <c r="K19" s="43" t="n"/>
    </row>
    <row r="20" ht="17" customHeight="1">
      <c r="A20" s="41" t="inlineStr">
        <is>
          <t>Team 5</t>
        </is>
      </c>
      <c r="B20" s="42" t="inlineStr">
        <is>
          <t>Nidheesh P V &amp; Abhishek P S</t>
        </is>
      </c>
      <c r="K20" s="43" t="n"/>
      <c r="M20" s="36" t="inlineStr">
        <is>
          <t>TMD-R4-01   ·   Mon 02 Nov   ·   19:54</t>
        </is>
      </c>
      <c r="N20" s="37" t="n"/>
      <c r="Q20" s="49" t="inlineStr">
        <is>
          <t>🏆 CHAMPION</t>
        </is>
      </c>
    </row>
    <row r="21" ht="17" customHeight="1">
      <c r="L21" s="45" t="n"/>
      <c r="M21" s="38">
        <f>IF(N21="","W TMD-R3-01",IF(N21=J13,I13&amp;"",IF(N21=J14,I14&amp;"","W TMD-R3-01")))</f>
        <v/>
      </c>
      <c r="N21" s="47" t="n"/>
      <c r="O21" s="50" t="n"/>
      <c r="P21" s="50" t="n"/>
      <c r="Q21" s="51">
        <f>IF(R21="","W TMD-R4-01",IF(R21=N21,M21&amp;"",IF(R21=N22,M22&amp;"","W TMD-R4-01")))</f>
        <v/>
      </c>
      <c r="R21" s="52" t="n"/>
    </row>
    <row r="22" ht="17" customHeight="1">
      <c r="A22" s="36" t="inlineStr">
        <is>
          <t>TMD-R1-04   ·   Mon 19 Oct   ·   18:00</t>
        </is>
      </c>
      <c r="B22" s="37" t="n"/>
      <c r="K22" s="43" t="n"/>
      <c r="L22" s="45" t="n"/>
      <c r="M22" s="41">
        <f>IF(N22="","W TMD-R3-02",IF(N22=J29,I29&amp;"",IF(N22=J30,I30&amp;"","W TMD-R3-02")))</f>
        <v/>
      </c>
      <c r="N22" s="46" t="n"/>
      <c r="Q22" s="53" t="inlineStr">
        <is>
          <t>🥈 RUNNER-UP</t>
        </is>
      </c>
    </row>
    <row r="23" ht="17" customHeight="1">
      <c r="A23" s="38" t="inlineStr">
        <is>
          <t>Team 3</t>
        </is>
      </c>
      <c r="B23" s="39" t="inlineStr">
        <is>
          <t>Prajith &amp; Nived</t>
        </is>
      </c>
      <c r="C23" s="40" t="n"/>
      <c r="K23" s="43" t="n"/>
      <c r="Q23" s="54">
        <f>IF(R21="","L final",IF(R21=N21,M22&amp;"",IF(R21=N22,M21&amp;"","L final")))</f>
        <v/>
      </c>
      <c r="R23" s="55">
        <f>IF(R21="","",IF(R21=N21,N22&amp;"",IF(R21=N22,N21&amp;"","")))</f>
        <v/>
      </c>
    </row>
    <row r="24" ht="17" customHeight="1">
      <c r="A24" s="41" t="inlineStr">
        <is>
          <t>Team 1</t>
        </is>
      </c>
      <c r="B24" s="42" t="inlineStr">
        <is>
          <t>Joyel &amp; Vidhu</t>
        </is>
      </c>
      <c r="C24" s="43" t="n"/>
      <c r="E24" s="36" t="inlineStr">
        <is>
          <t>TMD-R2-03   ·   Wed 21 Oct   ·   18:00</t>
        </is>
      </c>
      <c r="F24" s="37" t="n"/>
      <c r="K24" s="43" t="n"/>
    </row>
    <row r="25" ht="17" customHeight="1">
      <c r="C25" s="43" t="n"/>
      <c r="E25" s="44" t="inlineStr">
        <is>
          <t>Team 1</t>
        </is>
      </c>
      <c r="F25" s="39" t="inlineStr">
        <is>
          <t>Bilal &amp; Deekshith</t>
        </is>
      </c>
      <c r="G25" s="40" t="n"/>
      <c r="K25" s="43" t="n"/>
      <c r="M25" s="56" t="inlineStr">
        <is>
          <t>TMD-3P-01   ·   3rd Place   ·   Mon 02 Nov   ·   18:48</t>
        </is>
      </c>
      <c r="N25" s="37" t="n"/>
      <c r="Q25" s="57" t="inlineStr">
        <is>
          <t>🥉 3RD PLACE</t>
        </is>
      </c>
    </row>
    <row r="26" ht="17" customHeight="1">
      <c r="D26" s="45" t="n"/>
      <c r="E26" s="41">
        <f>IF(F26="","W TMD-R1-04",IF(F26=B23,A23&amp;"",IF(F26=B24,A24&amp;"","W TMD-R1-04")))</f>
        <v/>
      </c>
      <c r="F26" s="46" t="n"/>
      <c r="G26" s="43" t="n"/>
      <c r="K26" s="43" t="n"/>
      <c r="M26" s="38">
        <f>IF(N21="","L TMD-R3-01",IF(N21=J13,I14&amp;"",IF(N21=J14,I13&amp;"","L TMD-R3-01")))</f>
        <v/>
      </c>
      <c r="N26" s="30">
        <f>IF(N21="","",IF(N21=J13,J14&amp;"",IF(N21=J14,J13&amp;"","")))</f>
        <v/>
      </c>
      <c r="O26" s="50" t="n"/>
      <c r="P26" s="50" t="n"/>
      <c r="Q26" s="58">
        <f>IF(R26="","W TMD-3P-01",IF(R26=N26,M26&amp;"",IF(R26=N27,M27&amp;"","W TMD-3P-01")))</f>
        <v/>
      </c>
      <c r="R26" s="59" t="n"/>
    </row>
    <row r="27" ht="17" customHeight="1">
      <c r="G27" s="43" t="n"/>
      <c r="K27" s="43" t="n"/>
      <c r="M27" s="41">
        <f>IF(N22="","L TMD-R3-02",IF(N22=J29,I30&amp;"",IF(N22=J30,I29&amp;"","L TMD-R3-02")))</f>
        <v/>
      </c>
      <c r="N27" s="60">
        <f>IF(N22="","",IF(N22=J29,J30&amp;"",IF(N22=J30,J29&amp;"","")))</f>
        <v/>
      </c>
    </row>
    <row r="28" ht="17" customHeight="1">
      <c r="G28" s="43" t="n"/>
      <c r="I28" s="36" t="inlineStr">
        <is>
          <t>TMD-R3-02   ·   Thu 22 Oct   ·   19:07</t>
        </is>
      </c>
      <c r="J28" s="37" t="n"/>
      <c r="K28" s="43" t="n"/>
    </row>
    <row r="29" ht="17" customHeight="1">
      <c r="H29" s="45" t="n"/>
      <c r="I29" s="38">
        <f>IF(J29="","W TMD-R2-03",IF(J29=F25,E25&amp;"",IF(J29=F26,E26&amp;"","W TMD-R2-03")))</f>
        <v/>
      </c>
      <c r="J29" s="47" t="n"/>
      <c r="K29" s="48" t="n"/>
    </row>
    <row r="30" ht="17" customHeight="1">
      <c r="A30" s="36" t="inlineStr">
        <is>
          <t>TMD-R1-05   ·   Fri 16 Oct   ·   19:36</t>
        </is>
      </c>
      <c r="B30" s="37" t="n"/>
      <c r="G30" s="43" t="n"/>
      <c r="H30" s="45" t="n"/>
      <c r="I30" s="41">
        <f>IF(J30="","W TMD-R2-04",IF(J30=F33,E33&amp;"",IF(J30=F34,E34&amp;"","W TMD-R2-04")))</f>
        <v/>
      </c>
      <c r="J30" s="46" t="n"/>
    </row>
    <row r="31" ht="17" customHeight="1">
      <c r="A31" s="38" t="inlineStr">
        <is>
          <t>Team 4</t>
        </is>
      </c>
      <c r="B31" s="39" t="inlineStr">
        <is>
          <t>Rajeesh C V &amp; Suryathejas</t>
        </is>
      </c>
      <c r="C31" s="40" t="n"/>
      <c r="G31" s="43" t="n"/>
    </row>
    <row r="32" ht="17" customHeight="1">
      <c r="A32" s="41" t="inlineStr">
        <is>
          <t>Team 6</t>
        </is>
      </c>
      <c r="B32" s="42" t="inlineStr">
        <is>
          <t>Anandhakrishnan &amp; Christo</t>
        </is>
      </c>
      <c r="C32" s="43" t="n"/>
      <c r="E32" s="36" t="inlineStr">
        <is>
          <t>TMD-R2-04   ·   Wed 21 Oct   ·   18:18</t>
        </is>
      </c>
      <c r="F32" s="37" t="n"/>
      <c r="G32" s="43" t="n"/>
    </row>
    <row r="33" ht="17" customHeight="1">
      <c r="C33" s="43" t="n"/>
      <c r="E33" s="44" t="inlineStr">
        <is>
          <t>Team 3</t>
        </is>
      </c>
      <c r="F33" s="39" t="inlineStr">
        <is>
          <t>Rithik &amp; Prathyush</t>
        </is>
      </c>
      <c r="G33" s="48" t="n"/>
    </row>
    <row r="34" ht="17" customHeight="1">
      <c r="D34" s="45" t="n"/>
      <c r="E34" s="41">
        <f>IF(F34="","W TMD-R1-05",IF(F34=B31,A31&amp;"",IF(F34=B32,A32&amp;"","W TMD-R1-05")))</f>
        <v/>
      </c>
      <c r="F34" s="46" t="n"/>
    </row>
    <row r="35" ht="17" customHeight="1"/>
    <row r="36" ht="17" customHeight="1"/>
    <row r="37" ht="17" customHeight="1"/>
    <row r="38" ht="17" customHeight="1"/>
    <row r="39" ht="17" customHeight="1"/>
  </sheetData>
  <mergeCells count="27">
    <mergeCell ref="Q4:R5"/>
    <mergeCell ref="A30:B30"/>
    <mergeCell ref="Q25:R25"/>
    <mergeCell ref="E24:F24"/>
    <mergeCell ref="E5:F5"/>
    <mergeCell ref="M5:N5"/>
    <mergeCell ref="E8:F8"/>
    <mergeCell ref="A6:B6"/>
    <mergeCell ref="E4:F4"/>
    <mergeCell ref="M20:N20"/>
    <mergeCell ref="A2:R2"/>
    <mergeCell ref="Q20:R20"/>
    <mergeCell ref="I28:J28"/>
    <mergeCell ref="A18:B18"/>
    <mergeCell ref="I12:J12"/>
    <mergeCell ref="M25:N25"/>
    <mergeCell ref="A5:B5"/>
    <mergeCell ref="I5:J5"/>
    <mergeCell ref="A14:B14"/>
    <mergeCell ref="Q22:R22"/>
    <mergeCell ref="A22:B22"/>
    <mergeCell ref="A4:B4"/>
    <mergeCell ref="I4:J4"/>
    <mergeCell ref="E16:F16"/>
    <mergeCell ref="E32:F32"/>
    <mergeCell ref="A1:R1"/>
    <mergeCell ref="M4:N4"/>
  </mergeCells>
  <dataValidations count="13">
    <dataValidation sqref="F10" showDropDown="0" showInputMessage="0" showErrorMessage="0" allowBlank="1" type="list">
      <formula1>$B$7:$B$8</formula1>
    </dataValidation>
    <dataValidation sqref="F17" showDropDown="0" showInputMessage="0" showErrorMessage="0" allowBlank="1" type="list">
      <formula1>$B$15:$B$16</formula1>
    </dataValidation>
    <dataValidation sqref="F18" showDropDown="0" showInputMessage="0" showErrorMessage="0" allowBlank="1" type="list">
      <formula1>$B$19:$B$20</formula1>
    </dataValidation>
    <dataValidation sqref="F26" showDropDown="0" showInputMessage="0" showErrorMessage="0" allowBlank="1" type="list">
      <formula1>$B$23:$B$24</formula1>
    </dataValidation>
    <dataValidation sqref="F34" showDropDown="0" showInputMessage="0" showErrorMessage="0" allowBlank="1" type="list">
      <formula1>$B$31:$B$32</formula1>
    </dataValidation>
    <dataValidation sqref="J13" showDropDown="0" showInputMessage="0" showErrorMessage="0" allowBlank="1" type="list">
      <formula1>$F$9:$F$10</formula1>
    </dataValidation>
    <dataValidation sqref="J14" showDropDown="0" showInputMessage="0" showErrorMessage="0" allowBlank="1" type="list">
      <formula1>$F$17:$F$18</formula1>
    </dataValidation>
    <dataValidation sqref="J29" showDropDown="0" showInputMessage="0" showErrorMessage="0" allowBlank="1" type="list">
      <formula1>$F$25:$F$26</formula1>
    </dataValidation>
    <dataValidation sqref="J30" showDropDown="0" showInputMessage="0" showErrorMessage="0" allowBlank="1" type="list">
      <formula1>$F$33:$F$34</formula1>
    </dataValidation>
    <dataValidation sqref="N21" showDropDown="0" showInputMessage="0" showErrorMessage="0" allowBlank="1" type="list">
      <formula1>$J$13:$J$14</formula1>
    </dataValidation>
    <dataValidation sqref="N22" showDropDown="0" showInputMessage="0" showErrorMessage="0" allowBlank="1" type="list">
      <formula1>$J$29:$J$30</formula1>
    </dataValidation>
    <dataValidation sqref="R21" showDropDown="0" showInputMessage="0" showErrorMessage="0" allowBlank="1" type="list">
      <formula1>$N$21:$N$22</formula1>
    </dataValidation>
    <dataValidation sqref="R26" showDropDown="0" showInputMessage="0" showErrorMessage="0" allowBlank="1" type="list">
      <formula1>$N$26:$N$27</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5"/>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2.5" customWidth="1" min="3" max="3"/>
    <col width="2.5" customWidth="1" min="4" max="4"/>
    <col width="12" customWidth="1" min="5" max="5"/>
    <col width="30" customWidth="1" min="6" max="6"/>
    <col width="2.5" customWidth="1" min="7" max="7"/>
    <col width="2.5" customWidth="1" min="8" max="8"/>
    <col width="12" customWidth="1" min="9" max="9"/>
    <col width="30" customWidth="1" min="10" max="10"/>
    <col width="2.5" customWidth="1" min="11" max="11"/>
    <col width="2.5" customWidth="1" min="12" max="12"/>
  </cols>
  <sheetData>
    <row r="1" ht="30" customHeight="1">
      <c r="A1" s="1" t="inlineStr">
        <is>
          <t>TT Women's Doubles — Knockout Bracket   (4 entries)</t>
        </is>
      </c>
    </row>
    <row r="2">
      <c r="A2" s="2" t="inlineStr">
        <is>
          <t>Random draw, teammates kept apart in their first match.   Grey team cell = bye (starts in Round 2).</t>
        </is>
      </c>
    </row>
    <row r="4" ht="20" customHeight="1">
      <c r="A4" s="34" t="inlineStr">
        <is>
          <t>Semi-finals</t>
        </is>
      </c>
      <c r="E4" s="34" t="inlineStr">
        <is>
          <t>Final</t>
        </is>
      </c>
      <c r="I4" s="34" t="inlineStr">
        <is>
          <t>Champion</t>
        </is>
      </c>
    </row>
    <row r="5">
      <c r="A5" s="35" t="inlineStr">
        <is>
          <t>Thu 22 Oct  ·  2 matches</t>
        </is>
      </c>
      <c r="E5" s="35" t="inlineStr">
        <is>
          <t>Mon 02 Nov  ·  1 match</t>
        </is>
      </c>
    </row>
    <row r="6" ht="17" customHeight="1">
      <c r="A6" s="36" t="inlineStr">
        <is>
          <t>TWD-R1-01   ·   Thu 22 Oct   ·   19:25</t>
        </is>
      </c>
      <c r="B6" s="37" t="n"/>
    </row>
    <row r="7" ht="17" customHeight="1">
      <c r="A7" s="38" t="inlineStr">
        <is>
          <t>Team 4</t>
        </is>
      </c>
      <c r="B7" s="39" t="inlineStr">
        <is>
          <t>Aparna &amp; Deepanjali</t>
        </is>
      </c>
      <c r="C7" s="40" t="n"/>
    </row>
    <row r="8" ht="17" customHeight="1">
      <c r="A8" s="41" t="inlineStr">
        <is>
          <t>Team 5</t>
        </is>
      </c>
      <c r="B8" s="42" t="inlineStr">
        <is>
          <t>Sradha Santhosh &amp; Aryamol</t>
        </is>
      </c>
      <c r="C8" s="43" t="n"/>
      <c r="E8" s="36" t="inlineStr">
        <is>
          <t>TWD-R2-01   ·   Mon 02 Nov   ·   19:36</t>
        </is>
      </c>
      <c r="F8" s="37" t="n"/>
      <c r="I8" s="49" t="inlineStr">
        <is>
          <t>🏆 CHAMPION</t>
        </is>
      </c>
    </row>
    <row r="9" ht="17" customHeight="1">
      <c r="D9" s="45" t="n"/>
      <c r="E9" s="38">
        <f>IF(F9="","W TWD-R1-01",IF(F9=B7,A7&amp;"",IF(F9=B8,A8&amp;"","W TWD-R1-01")))</f>
        <v/>
      </c>
      <c r="F9" s="47" t="n"/>
      <c r="G9" s="50" t="n"/>
      <c r="H9" s="50" t="n"/>
      <c r="I9" s="51">
        <f>IF(J9="","W TWD-R2-01",IF(J9=F9,E9&amp;"",IF(J9=F10,E10&amp;"","W TWD-R2-01")))</f>
        <v/>
      </c>
      <c r="J9" s="52" t="n"/>
    </row>
    <row r="10" ht="17" customHeight="1">
      <c r="A10" s="36" t="inlineStr">
        <is>
          <t>TWD-R1-02   ·   Thu 22 Oct   ·   18:49</t>
        </is>
      </c>
      <c r="B10" s="37" t="n"/>
      <c r="C10" s="43" t="n"/>
      <c r="D10" s="45" t="n"/>
      <c r="E10" s="41">
        <f>IF(F10="","W TWD-R1-02",IF(F10=B11,A11&amp;"",IF(F10=B12,A12&amp;"","W TWD-R1-02")))</f>
        <v/>
      </c>
      <c r="F10" s="46" t="n"/>
      <c r="I10" s="53" t="inlineStr">
        <is>
          <t>🥈 RUNNER-UP</t>
        </is>
      </c>
    </row>
    <row r="11" ht="17" customHeight="1">
      <c r="A11" s="38" t="inlineStr">
        <is>
          <t>Team 6</t>
        </is>
      </c>
      <c r="B11" s="39" t="inlineStr">
        <is>
          <t>Akhila &amp; Ashna</t>
        </is>
      </c>
      <c r="C11" s="48" t="n"/>
      <c r="I11" s="54">
        <f>IF(J9="","L final",IF(J9=F9,E10&amp;"",IF(J9=F10,E9&amp;"","L final")))</f>
        <v/>
      </c>
      <c r="J11" s="55">
        <f>IF(J9="","",IF(J9=F9,F10&amp;"",IF(J9=F10,F9&amp;"","")))</f>
        <v/>
      </c>
    </row>
    <row r="12" ht="17" customHeight="1">
      <c r="A12" s="41" t="inlineStr">
        <is>
          <t>Team 1</t>
        </is>
      </c>
      <c r="B12" s="42" t="inlineStr">
        <is>
          <t>Neethu &amp; Nivya Mathew</t>
        </is>
      </c>
    </row>
    <row r="13" ht="17" customHeight="1">
      <c r="E13" s="56" t="inlineStr">
        <is>
          <t>TWD-3P-01   ·   3rd Place   ·   Mon 02 Nov   ·   18:30</t>
        </is>
      </c>
      <c r="F13" s="37" t="n"/>
      <c r="I13" s="57" t="inlineStr">
        <is>
          <t>🥉 3RD PLACE</t>
        </is>
      </c>
    </row>
    <row r="14" ht="17" customHeight="1">
      <c r="E14" s="38">
        <f>IF(F9="","L TWD-R1-01",IF(F9=B7,A8&amp;"",IF(F9=B8,A7&amp;"","L TWD-R1-01")))</f>
        <v/>
      </c>
      <c r="F14" s="30">
        <f>IF(F9="","",IF(F9=B7,B8&amp;"",IF(F9=B8,B7&amp;"","")))</f>
        <v/>
      </c>
      <c r="G14" s="50" t="n"/>
      <c r="H14" s="50" t="n"/>
      <c r="I14" s="58">
        <f>IF(J14="","W TWD-3P-01",IF(J14=F14,E14&amp;"",IF(J14=F15,E15&amp;"","W TWD-3P-01")))</f>
        <v/>
      </c>
      <c r="J14" s="59" t="n"/>
    </row>
    <row r="15" ht="17" customHeight="1">
      <c r="E15" s="41">
        <f>IF(F10="","L TWD-R1-02",IF(F10=B11,A12&amp;"",IF(F10=B12,A11&amp;"","L TWD-R1-02")))</f>
        <v/>
      </c>
      <c r="F15" s="60">
        <f>IF(F10="","",IF(F10=B11,B12&amp;"",IF(F10=B12,B11&amp;"","")))</f>
        <v/>
      </c>
    </row>
  </sheetData>
  <mergeCells count="14">
    <mergeCell ref="A4:B4"/>
    <mergeCell ref="A1:J1"/>
    <mergeCell ref="E4:F4"/>
    <mergeCell ref="I4:J5"/>
    <mergeCell ref="I8:J8"/>
    <mergeCell ref="I10:J10"/>
    <mergeCell ref="E8:F8"/>
    <mergeCell ref="A10:B10"/>
    <mergeCell ref="A5:B5"/>
    <mergeCell ref="E5:F5"/>
    <mergeCell ref="E13:F13"/>
    <mergeCell ref="I13:J13"/>
    <mergeCell ref="A2:J2"/>
    <mergeCell ref="A6:B6"/>
  </mergeCells>
  <dataValidations count="4">
    <dataValidation sqref="F9" showDropDown="0" showInputMessage="0" showErrorMessage="0" allowBlank="1" type="list">
      <formula1>$B$7:$B$8</formula1>
    </dataValidation>
    <dataValidation sqref="F10" showDropDown="0" showInputMessage="0" showErrorMessage="0" allowBlank="1" type="list">
      <formula1>$B$11:$B$12</formula1>
    </dataValidation>
    <dataValidation sqref="J9" showDropDown="0" showInputMessage="0" showErrorMessage="0" allowBlank="1" type="list">
      <formula1>$F$9:$F$10</formula1>
    </dataValidation>
    <dataValidation sqref="J14" showDropDown="0" showInputMessage="0" showErrorMessage="0" allowBlank="1" type="list">
      <formula1>$F$14:$F$15</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34"/>
  <sheetViews>
    <sheetView showGridLines="0" workbookViewId="0">
      <pane ySplit="5" topLeftCell="A6" activePane="bottomLeft" state="frozen"/>
      <selection pane="bottomLeft" activeCell="A1" sqref="A1"/>
    </sheetView>
  </sheetViews>
  <sheetFormatPr baseColWidth="8" defaultRowHeight="15"/>
  <cols>
    <col width="12" customWidth="1" min="1" max="1"/>
    <col width="22" customWidth="1" min="2" max="2"/>
    <col width="2.5" customWidth="1" min="3" max="3"/>
    <col width="2.5" customWidth="1" min="4" max="4"/>
    <col width="12" customWidth="1" min="5" max="5"/>
    <col width="22" customWidth="1" min="6" max="6"/>
    <col width="2.5" customWidth="1" min="7" max="7"/>
    <col width="2.5" customWidth="1" min="8" max="8"/>
    <col width="12" customWidth="1" min="9" max="9"/>
    <col width="22" customWidth="1" min="10" max="10"/>
    <col width="2.5" customWidth="1" min="11" max="11"/>
    <col width="2.5" customWidth="1" min="12" max="12"/>
    <col width="12" customWidth="1" min="13" max="13"/>
    <col width="22" customWidth="1" min="14" max="14"/>
    <col width="2.5" customWidth="1" min="15" max="15"/>
    <col width="2.5" customWidth="1" min="16" max="16"/>
    <col width="12" customWidth="1" min="17" max="17"/>
    <col width="22" customWidth="1" min="18" max="18"/>
    <col width="2.5" customWidth="1" min="19" max="19"/>
    <col width="2.5" customWidth="1" min="20" max="20"/>
  </cols>
  <sheetData>
    <row r="1" ht="30" customHeight="1">
      <c r="A1" s="1" t="inlineStr">
        <is>
          <t>Badminton Men's Singles — Knockout Bracket   (12 entries)</t>
        </is>
      </c>
    </row>
    <row r="2">
      <c r="A2" s="2" t="inlineStr">
        <is>
          <t>Random draw, teammates kept apart in their first match.   Grey team cell = bye (starts in Round 2).</t>
        </is>
      </c>
    </row>
    <row r="4" ht="20" customHeight="1">
      <c r="A4" s="34" t="inlineStr">
        <is>
          <t>Round 1</t>
        </is>
      </c>
      <c r="E4" s="34" t="inlineStr">
        <is>
          <t>Quarter-finals</t>
        </is>
      </c>
      <c r="I4" s="34" t="inlineStr">
        <is>
          <t>Semi-finals</t>
        </is>
      </c>
      <c r="M4" s="34" t="inlineStr">
        <is>
          <t>Final</t>
        </is>
      </c>
      <c r="Q4" s="34" t="inlineStr">
        <is>
          <t>Champion</t>
        </is>
      </c>
    </row>
    <row r="5">
      <c r="A5" s="35" t="inlineStr">
        <is>
          <t>Sun 01 Nov  ·  4 matches</t>
        </is>
      </c>
      <c r="E5" s="35" t="inlineStr">
        <is>
          <t>Sun 01 Nov  ·  4 matches</t>
        </is>
      </c>
      <c r="I5" s="35" t="inlineStr">
        <is>
          <t>Sun 01 Nov  ·  2 matches</t>
        </is>
      </c>
      <c r="M5" s="35" t="inlineStr">
        <is>
          <t>Sun 01 Nov  ·  1 match</t>
        </is>
      </c>
    </row>
    <row r="6" ht="17" customHeight="1">
      <c r="A6" s="36" t="inlineStr">
        <is>
          <t>BMS-R1-01   ·   Sun 01 Nov   ·   10:54</t>
        </is>
      </c>
      <c r="B6" s="37" t="n"/>
    </row>
    <row r="7" ht="17" customHeight="1">
      <c r="A7" s="38" t="inlineStr">
        <is>
          <t>Team 1</t>
        </is>
      </c>
      <c r="B7" s="39" t="inlineStr">
        <is>
          <t>Joyel</t>
        </is>
      </c>
      <c r="C7" s="40" t="n"/>
    </row>
    <row r="8" ht="17" customHeight="1">
      <c r="A8" s="41" t="inlineStr">
        <is>
          <t>Team 3</t>
        </is>
      </c>
      <c r="B8" s="42" t="inlineStr">
        <is>
          <t>Kevin</t>
        </is>
      </c>
      <c r="C8" s="43" t="n"/>
      <c r="E8" s="36" t="inlineStr">
        <is>
          <t>BMS-R2-01   ·   Sun 01 Nov   ·   14:00</t>
        </is>
      </c>
      <c r="F8" s="37" t="n"/>
    </row>
    <row r="9" ht="17" customHeight="1">
      <c r="C9" s="43" t="n"/>
      <c r="E9" s="44" t="inlineStr">
        <is>
          <t>Team 5</t>
        </is>
      </c>
      <c r="F9" s="39" t="inlineStr">
        <is>
          <t>Adhith Vinoj</t>
        </is>
      </c>
      <c r="G9" s="40" t="n"/>
    </row>
    <row r="10" ht="17" customHeight="1">
      <c r="D10" s="45" t="n"/>
      <c r="E10" s="41">
        <f>IF(F10="","W BMS-R1-01",IF(F10=B7,A7&amp;"",IF(F10=B8,A8&amp;"","W BMS-R1-01")))</f>
        <v/>
      </c>
      <c r="F10" s="46" t="n"/>
      <c r="G10" s="43" t="n"/>
    </row>
    <row r="11" ht="17" customHeight="1">
      <c r="G11" s="43" t="n"/>
    </row>
    <row r="12" ht="17" customHeight="1">
      <c r="G12" s="43" t="n"/>
      <c r="I12" s="36" t="inlineStr">
        <is>
          <t>BMS-R3-01   ·   Sun 01 Nov   ·   15:48</t>
        </is>
      </c>
      <c r="J12" s="37" t="n"/>
    </row>
    <row r="13" ht="17" customHeight="1">
      <c r="H13" s="45" t="n"/>
      <c r="I13" s="38">
        <f>IF(J13="","W BMS-R2-01",IF(J13=F9,E9&amp;"",IF(J13=F10,E10&amp;"","W BMS-R2-01")))</f>
        <v/>
      </c>
      <c r="J13" s="47" t="n"/>
      <c r="K13" s="40" t="n"/>
    </row>
    <row r="14" ht="17" customHeight="1">
      <c r="A14" s="36" t="inlineStr">
        <is>
          <t>BMS-R1-02   ·   Sun 01 Nov   ·   10:36</t>
        </is>
      </c>
      <c r="B14" s="37" t="n"/>
      <c r="G14" s="43" t="n"/>
      <c r="H14" s="45" t="n"/>
      <c r="I14" s="41">
        <f>IF(J14="","W BMS-R2-02",IF(J14=F17,E17&amp;"",IF(J14=F18,E18&amp;"","W BMS-R2-02")))</f>
        <v/>
      </c>
      <c r="J14" s="46" t="n"/>
      <c r="K14" s="43" t="n"/>
    </row>
    <row r="15" ht="17" customHeight="1">
      <c r="A15" s="38" t="inlineStr">
        <is>
          <t>Team 4</t>
        </is>
      </c>
      <c r="B15" s="39" t="inlineStr">
        <is>
          <t>Sahil M I</t>
        </is>
      </c>
      <c r="C15" s="40" t="n"/>
      <c r="G15" s="43" t="n"/>
      <c r="K15" s="43" t="n"/>
    </row>
    <row r="16" ht="17" customHeight="1">
      <c r="A16" s="41" t="inlineStr">
        <is>
          <t>Team 2</t>
        </is>
      </c>
      <c r="B16" s="42" t="inlineStr">
        <is>
          <t>Amal</t>
        </is>
      </c>
      <c r="C16" s="43" t="n"/>
      <c r="E16" s="36" t="inlineStr">
        <is>
          <t>BMS-R2-02   ·   Sun 01 Nov   ·   14:00</t>
        </is>
      </c>
      <c r="F16" s="37" t="n"/>
      <c r="G16" s="43" t="n"/>
      <c r="K16" s="43" t="n"/>
    </row>
    <row r="17" ht="17" customHeight="1">
      <c r="C17" s="43" t="n"/>
      <c r="E17" s="44" t="inlineStr">
        <is>
          <t>Team 3</t>
        </is>
      </c>
      <c r="F17" s="39" t="inlineStr">
        <is>
          <t>Adwaith</t>
        </is>
      </c>
      <c r="G17" s="48" t="n"/>
      <c r="K17" s="43" t="n"/>
    </row>
    <row r="18" ht="17" customHeight="1">
      <c r="D18" s="45" t="n"/>
      <c r="E18" s="41">
        <f>IF(F18="","W BMS-R1-02",IF(F18=B15,A15&amp;"",IF(F18=B16,A16&amp;"","W BMS-R1-02")))</f>
        <v/>
      </c>
      <c r="F18" s="46" t="n"/>
      <c r="K18" s="43" t="n"/>
    </row>
    <row r="19" ht="17" customHeight="1">
      <c r="K19" s="43" t="n"/>
    </row>
    <row r="20" ht="17" customHeight="1">
      <c r="K20" s="43" t="n"/>
      <c r="M20" s="36" t="inlineStr">
        <is>
          <t>BMS-R4-01   ·   Sun 01 Nov   ·   18:04</t>
        </is>
      </c>
      <c r="N20" s="37" t="n"/>
      <c r="Q20" s="49" t="inlineStr">
        <is>
          <t>🏆 CHAMPION</t>
        </is>
      </c>
    </row>
    <row r="21" ht="17" customHeight="1">
      <c r="L21" s="45" t="n"/>
      <c r="M21" s="38">
        <f>IF(N21="","W BMS-R3-01",IF(N21=J13,I13&amp;"",IF(N21=J14,I14&amp;"","W BMS-R3-01")))</f>
        <v/>
      </c>
      <c r="N21" s="47" t="n"/>
      <c r="O21" s="50" t="n"/>
      <c r="P21" s="50" t="n"/>
      <c r="Q21" s="51">
        <f>IF(R21="","W BMS-R4-01",IF(R21=N21,M21&amp;"",IF(R21=N22,M22&amp;"","W BMS-R4-01")))</f>
        <v/>
      </c>
      <c r="R21" s="52" t="n"/>
    </row>
    <row r="22" ht="17" customHeight="1">
      <c r="A22" s="36" t="inlineStr">
        <is>
          <t>BMS-R1-03   ·   Sun 01 Nov   ·   10:36</t>
        </is>
      </c>
      <c r="B22" s="37" t="n"/>
      <c r="K22" s="43" t="n"/>
      <c r="L22" s="45" t="n"/>
      <c r="M22" s="41">
        <f>IF(N22="","W BMS-R3-02",IF(N22=J29,I29&amp;"",IF(N22=J30,I30&amp;"","W BMS-R3-02")))</f>
        <v/>
      </c>
      <c r="N22" s="46" t="n"/>
      <c r="Q22" s="53" t="inlineStr">
        <is>
          <t>🥈 RUNNER-UP</t>
        </is>
      </c>
    </row>
    <row r="23" ht="17" customHeight="1">
      <c r="A23" s="38" t="inlineStr">
        <is>
          <t>Team 2</t>
        </is>
      </c>
      <c r="B23" s="39" t="inlineStr">
        <is>
          <t>Gokul</t>
        </is>
      </c>
      <c r="C23" s="40" t="n"/>
      <c r="K23" s="43" t="n"/>
      <c r="Q23" s="54">
        <f>IF(R21="","L final",IF(R21=N21,M22&amp;"",IF(R21=N22,M21&amp;"","L final")))</f>
        <v/>
      </c>
      <c r="R23" s="55">
        <f>IF(R21="","",IF(R21=N21,N22&amp;"",IF(R21=N22,N21&amp;"","")))</f>
        <v/>
      </c>
    </row>
    <row r="24" ht="17" customHeight="1">
      <c r="A24" s="41" t="inlineStr">
        <is>
          <t>Team 4</t>
        </is>
      </c>
      <c r="B24" s="42" t="inlineStr">
        <is>
          <t>Rajeesh C V</t>
        </is>
      </c>
      <c r="C24" s="43" t="n"/>
      <c r="E24" s="36" t="inlineStr">
        <is>
          <t>BMS-R2-03   ·   Sun 01 Nov   ·   14:18</t>
        </is>
      </c>
      <c r="F24" s="37" t="n"/>
      <c r="K24" s="43" t="n"/>
    </row>
    <row r="25" ht="17" customHeight="1">
      <c r="C25" s="43" t="n"/>
      <c r="E25" s="44" t="inlineStr">
        <is>
          <t>Team 6</t>
        </is>
      </c>
      <c r="F25" s="39" t="inlineStr">
        <is>
          <t>Joel</t>
        </is>
      </c>
      <c r="G25" s="40" t="n"/>
      <c r="K25" s="43" t="n"/>
      <c r="M25" s="56" t="inlineStr">
        <is>
          <t>BMS-3P-01   ·   3rd Place   ·   Sun 01 Nov   ·   17:14</t>
        </is>
      </c>
      <c r="N25" s="37" t="n"/>
      <c r="Q25" s="57" t="inlineStr">
        <is>
          <t>🥉 3RD PLACE</t>
        </is>
      </c>
    </row>
    <row r="26" ht="17" customHeight="1">
      <c r="D26" s="45" t="n"/>
      <c r="E26" s="41">
        <f>IF(F26="","W BMS-R1-03",IF(F26=B23,A23&amp;"",IF(F26=B24,A24&amp;"","W BMS-R1-03")))</f>
        <v/>
      </c>
      <c r="F26" s="46" t="n"/>
      <c r="G26" s="43" t="n"/>
      <c r="K26" s="43" t="n"/>
      <c r="M26" s="38">
        <f>IF(N21="","L BMS-R3-01",IF(N21=J13,I14&amp;"",IF(N21=J14,I13&amp;"","L BMS-R3-01")))</f>
        <v/>
      </c>
      <c r="N26" s="30">
        <f>IF(N21="","",IF(N21=J13,J14&amp;"",IF(N21=J14,J13&amp;"","")))</f>
        <v/>
      </c>
      <c r="O26" s="50" t="n"/>
      <c r="P26" s="50" t="n"/>
      <c r="Q26" s="58">
        <f>IF(R26="","W BMS-3P-01",IF(R26=N26,M26&amp;"",IF(R26=N27,M27&amp;"","W BMS-3P-01")))</f>
        <v/>
      </c>
      <c r="R26" s="59" t="n"/>
    </row>
    <row r="27" ht="17" customHeight="1">
      <c r="G27" s="43" t="n"/>
      <c r="K27" s="43" t="n"/>
      <c r="M27" s="41">
        <f>IF(N22="","L BMS-R3-02",IF(N22=J29,I30&amp;"",IF(N22=J30,I29&amp;"","L BMS-R3-02")))</f>
        <v/>
      </c>
      <c r="N27" s="60">
        <f>IF(N22="","",IF(N22=J29,J30&amp;"",IF(N22=J30,J29&amp;"","")))</f>
        <v/>
      </c>
    </row>
    <row r="28" ht="17" customHeight="1">
      <c r="G28" s="43" t="n"/>
      <c r="I28" s="36" t="inlineStr">
        <is>
          <t>BMS-R3-02   ·   Sun 01 Nov   ·   15:48</t>
        </is>
      </c>
      <c r="J28" s="37" t="n"/>
      <c r="K28" s="43" t="n"/>
    </row>
    <row r="29" ht="17" customHeight="1">
      <c r="H29" s="45" t="n"/>
      <c r="I29" s="38">
        <f>IF(J29="","W BMS-R2-03",IF(J29=F25,E25&amp;"",IF(J29=F26,E26&amp;"","W BMS-R2-03")))</f>
        <v/>
      </c>
      <c r="J29" s="47" t="n"/>
      <c r="K29" s="48" t="n"/>
    </row>
    <row r="30" ht="17" customHeight="1">
      <c r="A30" s="36" t="inlineStr">
        <is>
          <t>BMS-R1-04   ·   Sun 01 Nov   ·   10:54</t>
        </is>
      </c>
      <c r="B30" s="37" t="n"/>
      <c r="G30" s="43" t="n"/>
      <c r="H30" s="45" t="n"/>
      <c r="I30" s="41">
        <f>IF(J30="","W BMS-R2-04",IF(J30=F33,E33&amp;"",IF(J30=F34,E34&amp;"","W BMS-R2-04")))</f>
        <v/>
      </c>
      <c r="J30" s="46" t="n"/>
    </row>
    <row r="31" ht="17" customHeight="1">
      <c r="A31" s="38" t="inlineStr">
        <is>
          <t>Team 1</t>
        </is>
      </c>
      <c r="B31" s="39" t="inlineStr">
        <is>
          <t>Amit</t>
        </is>
      </c>
      <c r="C31" s="40" t="n"/>
      <c r="G31" s="43" t="n"/>
    </row>
    <row r="32" ht="17" customHeight="1">
      <c r="A32" s="41" t="inlineStr">
        <is>
          <t>Team 5</t>
        </is>
      </c>
      <c r="B32" s="42" t="inlineStr">
        <is>
          <t>Nidheesh P V</t>
        </is>
      </c>
      <c r="C32" s="43" t="n"/>
      <c r="E32" s="36" t="inlineStr">
        <is>
          <t>BMS-R2-04   ·   Sun 01 Nov   ·   14:18</t>
        </is>
      </c>
      <c r="F32" s="37" t="n"/>
      <c r="G32" s="43" t="n"/>
    </row>
    <row r="33" ht="17" customHeight="1">
      <c r="C33" s="43" t="n"/>
      <c r="E33" s="44" t="inlineStr">
        <is>
          <t>Team 6</t>
        </is>
      </c>
      <c r="F33" s="39" t="inlineStr">
        <is>
          <t>Jayesh</t>
        </is>
      </c>
      <c r="G33" s="48" t="n"/>
    </row>
    <row r="34" ht="17" customHeight="1">
      <c r="D34" s="45" t="n"/>
      <c r="E34" s="41">
        <f>IF(F34="","W BMS-R1-04",IF(F34=B31,A31&amp;"",IF(F34=B32,A32&amp;"","W BMS-R1-04")))</f>
        <v/>
      </c>
      <c r="F34" s="46" t="n"/>
    </row>
    <row r="35" ht="17" customHeight="1"/>
    <row r="36" ht="17" customHeight="1"/>
    <row r="37" ht="17" customHeight="1"/>
    <row r="38" ht="17" customHeight="1"/>
    <row r="39" ht="17" customHeight="1"/>
  </sheetData>
  <mergeCells count="26">
    <mergeCell ref="Q4:R5"/>
    <mergeCell ref="A30:B30"/>
    <mergeCell ref="Q25:R25"/>
    <mergeCell ref="E24:F24"/>
    <mergeCell ref="E5:F5"/>
    <mergeCell ref="M5:N5"/>
    <mergeCell ref="E8:F8"/>
    <mergeCell ref="A6:B6"/>
    <mergeCell ref="E4:F4"/>
    <mergeCell ref="M20:N20"/>
    <mergeCell ref="A2:R2"/>
    <mergeCell ref="Q20:R20"/>
    <mergeCell ref="I28:J28"/>
    <mergeCell ref="I12:J12"/>
    <mergeCell ref="M25:N25"/>
    <mergeCell ref="A5:B5"/>
    <mergeCell ref="I5:J5"/>
    <mergeCell ref="A14:B14"/>
    <mergeCell ref="Q22:R22"/>
    <mergeCell ref="A22:B22"/>
    <mergeCell ref="A4:B4"/>
    <mergeCell ref="I4:J4"/>
    <mergeCell ref="E16:F16"/>
    <mergeCell ref="E32:F32"/>
    <mergeCell ref="A1:R1"/>
    <mergeCell ref="M4:N4"/>
  </mergeCells>
  <dataValidations count="12">
    <dataValidation sqref="F10" showDropDown="0" showInputMessage="0" showErrorMessage="0" allowBlank="1" type="list">
      <formula1>$B$7:$B$8</formula1>
    </dataValidation>
    <dataValidation sqref="F18" showDropDown="0" showInputMessage="0" showErrorMessage="0" allowBlank="1" type="list">
      <formula1>$B$15:$B$16</formula1>
    </dataValidation>
    <dataValidation sqref="F26" showDropDown="0" showInputMessage="0" showErrorMessage="0" allowBlank="1" type="list">
      <formula1>$B$23:$B$24</formula1>
    </dataValidation>
    <dataValidation sqref="F34" showDropDown="0" showInputMessage="0" showErrorMessage="0" allowBlank="1" type="list">
      <formula1>$B$31:$B$32</formula1>
    </dataValidation>
    <dataValidation sqref="J13" showDropDown="0" showInputMessage="0" showErrorMessage="0" allowBlank="1" type="list">
      <formula1>$F$9:$F$10</formula1>
    </dataValidation>
    <dataValidation sqref="J14" showDropDown="0" showInputMessage="0" showErrorMessage="0" allowBlank="1" type="list">
      <formula1>$F$17:$F$18</formula1>
    </dataValidation>
    <dataValidation sqref="J29" showDropDown="0" showInputMessage="0" showErrorMessage="0" allowBlank="1" type="list">
      <formula1>$F$25:$F$26</formula1>
    </dataValidation>
    <dataValidation sqref="J30" showDropDown="0" showInputMessage="0" showErrorMessage="0" allowBlank="1" type="list">
      <formula1>$F$33:$F$34</formula1>
    </dataValidation>
    <dataValidation sqref="N21" showDropDown="0" showInputMessage="0" showErrorMessage="0" allowBlank="1" type="list">
      <formula1>$J$13:$J$14</formula1>
    </dataValidation>
    <dataValidation sqref="N22" showDropDown="0" showInputMessage="0" showErrorMessage="0" allowBlank="1" type="list">
      <formula1>$J$29:$J$30</formula1>
    </dataValidation>
    <dataValidation sqref="R21" showDropDown="0" showInputMessage="0" showErrorMessage="0" allowBlank="1" type="list">
      <formula1>$N$21:$N$22</formula1>
    </dataValidation>
    <dataValidation sqref="R26" showDropDown="0" showInputMessage="0" showErrorMessage="0" allowBlank="1" type="list">
      <formula1>$N$26:$N$27</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4"/>
  <sheetViews>
    <sheetView showGridLines="0" workbookViewId="0">
      <pane ySplit="5" topLeftCell="A6" activePane="bottomLeft" state="frozen"/>
      <selection pane="bottomLeft" activeCell="A1" sqref="A1"/>
    </sheetView>
  </sheetViews>
  <sheetFormatPr baseColWidth="8" defaultRowHeight="15"/>
  <cols>
    <col width="12" customWidth="1" min="1" max="1"/>
    <col width="22" customWidth="1" min="2" max="2"/>
    <col width="2.5" customWidth="1" min="3" max="3"/>
    <col width="2.5" customWidth="1" min="4" max="4"/>
    <col width="12" customWidth="1" min="5" max="5"/>
    <col width="22" customWidth="1" min="6" max="6"/>
    <col width="2.5" customWidth="1" min="7" max="7"/>
    <col width="2.5" customWidth="1" min="8" max="8"/>
    <col width="12" customWidth="1" min="9" max="9"/>
    <col width="22" customWidth="1" min="10" max="10"/>
    <col width="2.5" customWidth="1" min="11" max="11"/>
    <col width="2.5" customWidth="1" min="12" max="12"/>
    <col width="12" customWidth="1" min="13" max="13"/>
    <col width="22" customWidth="1" min="14" max="14"/>
    <col width="2.5" customWidth="1" min="15" max="15"/>
    <col width="2.5" customWidth="1" min="16" max="16"/>
    <col width="12" customWidth="1" min="17" max="17"/>
    <col width="22" customWidth="1" min="18" max="18"/>
    <col width="2.5" customWidth="1" min="19" max="19"/>
    <col width="2.5" customWidth="1" min="20" max="20"/>
  </cols>
  <sheetData>
    <row r="1" ht="30" customHeight="1">
      <c r="A1" s="1" t="inlineStr">
        <is>
          <t>Badminton Women's Singles — Knockout Bracket   (12 entries)</t>
        </is>
      </c>
    </row>
    <row r="2">
      <c r="A2" s="2" t="inlineStr">
        <is>
          <t>Random draw, teammates kept apart in their first match.   Grey team cell = bye (starts in Round 2).</t>
        </is>
      </c>
    </row>
    <row r="4" ht="20" customHeight="1">
      <c r="A4" s="34" t="inlineStr">
        <is>
          <t>Round 1</t>
        </is>
      </c>
      <c r="E4" s="34" t="inlineStr">
        <is>
          <t>Quarter-finals</t>
        </is>
      </c>
      <c r="I4" s="34" t="inlineStr">
        <is>
          <t>Semi-finals</t>
        </is>
      </c>
      <c r="M4" s="34" t="inlineStr">
        <is>
          <t>Final</t>
        </is>
      </c>
      <c r="Q4" s="34" t="inlineStr">
        <is>
          <t>Champion</t>
        </is>
      </c>
    </row>
    <row r="5">
      <c r="A5" s="35" t="inlineStr">
        <is>
          <t>Sun 01 Nov  ·  4 matches</t>
        </is>
      </c>
      <c r="E5" s="35" t="inlineStr">
        <is>
          <t>Sun 01 Nov  ·  4 matches</t>
        </is>
      </c>
      <c r="I5" s="35" t="inlineStr">
        <is>
          <t>Sun 01 Nov  ·  2 matches</t>
        </is>
      </c>
      <c r="M5" s="35" t="inlineStr">
        <is>
          <t>Sun 01 Nov  ·  1 match</t>
        </is>
      </c>
    </row>
    <row r="6" ht="17" customHeight="1">
      <c r="A6" s="36" t="inlineStr">
        <is>
          <t>BWS-R1-01   ·   Sun 01 Nov   ·   11:48</t>
        </is>
      </c>
      <c r="B6" s="37" t="n"/>
    </row>
    <row r="7" ht="17" customHeight="1">
      <c r="A7" s="38" t="inlineStr">
        <is>
          <t>Team 4</t>
        </is>
      </c>
      <c r="B7" s="39" t="inlineStr">
        <is>
          <t>AnnMary</t>
        </is>
      </c>
      <c r="C7" s="40" t="n"/>
    </row>
    <row r="8" ht="17" customHeight="1">
      <c r="A8" s="41" t="inlineStr">
        <is>
          <t>Team 6</t>
        </is>
      </c>
      <c r="B8" s="42" t="inlineStr">
        <is>
          <t>Akshaya</t>
        </is>
      </c>
      <c r="C8" s="43" t="n"/>
      <c r="E8" s="36" t="inlineStr">
        <is>
          <t>BWS-R2-01   ·   Sun 01 Nov   ·   15:12</t>
        </is>
      </c>
      <c r="F8" s="37" t="n"/>
    </row>
    <row r="9" ht="17" customHeight="1">
      <c r="C9" s="43" t="n"/>
      <c r="E9" s="44" t="inlineStr">
        <is>
          <t>Team 3</t>
        </is>
      </c>
      <c r="F9" s="39" t="inlineStr">
        <is>
          <t>Fadwah</t>
        </is>
      </c>
      <c r="G9" s="40" t="n"/>
    </row>
    <row r="10" ht="17" customHeight="1">
      <c r="D10" s="45" t="n"/>
      <c r="E10" s="41">
        <f>IF(F10="","W BWS-R1-01",IF(F10=B7,A7&amp;"",IF(F10=B8,A8&amp;"","W BWS-R1-01")))</f>
        <v/>
      </c>
      <c r="F10" s="46" t="n"/>
      <c r="G10" s="43" t="n"/>
    </row>
    <row r="11" ht="17" customHeight="1">
      <c r="G11" s="43" t="n"/>
    </row>
    <row r="12" ht="17" customHeight="1">
      <c r="G12" s="43" t="n"/>
      <c r="I12" s="36" t="inlineStr">
        <is>
          <t>BWS-R3-01   ·   Sun 01 Nov   ·   16:31</t>
        </is>
      </c>
      <c r="J12" s="37" t="n"/>
    </row>
    <row r="13" ht="17" customHeight="1">
      <c r="H13" s="45" t="n"/>
      <c r="I13" s="38">
        <f>IF(J13="","W BWS-R2-01",IF(J13=F9,E9&amp;"",IF(J13=F10,E10&amp;"","W BWS-R2-01")))</f>
        <v/>
      </c>
      <c r="J13" s="47" t="n"/>
      <c r="K13" s="40" t="n"/>
    </row>
    <row r="14" ht="17" customHeight="1">
      <c r="A14" s="36" t="inlineStr">
        <is>
          <t>BWS-R1-02   ·   Sun 01 Nov   ·   11:30</t>
        </is>
      </c>
      <c r="B14" s="37" t="n"/>
      <c r="G14" s="43" t="n"/>
      <c r="H14" s="45" t="n"/>
      <c r="I14" s="41">
        <f>IF(J14="","W BWS-R2-02",IF(J14=F17,E17&amp;"",IF(J14=F18,E18&amp;"","W BWS-R2-02")))</f>
        <v/>
      </c>
      <c r="J14" s="46" t="n"/>
      <c r="K14" s="43" t="n"/>
    </row>
    <row r="15" ht="17" customHeight="1">
      <c r="A15" s="38" t="inlineStr">
        <is>
          <t>Team 5</t>
        </is>
      </c>
      <c r="B15" s="39" t="inlineStr">
        <is>
          <t>Vidhya M Robert</t>
        </is>
      </c>
      <c r="C15" s="40" t="n"/>
      <c r="G15" s="43" t="n"/>
      <c r="K15" s="43" t="n"/>
    </row>
    <row r="16" ht="17" customHeight="1">
      <c r="A16" s="41" t="inlineStr">
        <is>
          <t>Team 6</t>
        </is>
      </c>
      <c r="B16" s="42" t="inlineStr">
        <is>
          <t>Merrin</t>
        </is>
      </c>
      <c r="C16" s="43" t="n"/>
      <c r="E16" s="36" t="inlineStr">
        <is>
          <t>BWS-R2-02   ·   Sun 01 Nov   ·   15:12</t>
        </is>
      </c>
      <c r="F16" s="37" t="n"/>
      <c r="G16" s="43" t="n"/>
      <c r="K16" s="43" t="n"/>
    </row>
    <row r="17" ht="17" customHeight="1">
      <c r="C17" s="43" t="n"/>
      <c r="E17" s="44" t="inlineStr">
        <is>
          <t>Team 1</t>
        </is>
      </c>
      <c r="F17" s="39" t="inlineStr">
        <is>
          <t>Neethu</t>
        </is>
      </c>
      <c r="G17" s="48" t="n"/>
      <c r="K17" s="43" t="n"/>
    </row>
    <row r="18" ht="17" customHeight="1">
      <c r="D18" s="45" t="n"/>
      <c r="E18" s="41">
        <f>IF(F18="","W BWS-R1-02",IF(F18=B15,A15&amp;"",IF(F18=B16,A16&amp;"","W BWS-R1-02")))</f>
        <v/>
      </c>
      <c r="F18" s="46" t="n"/>
      <c r="K18" s="43" t="n"/>
    </row>
    <row r="19" ht="17" customHeight="1">
      <c r="K19" s="43" t="n"/>
    </row>
    <row r="20" ht="17" customHeight="1">
      <c r="K20" s="43" t="n"/>
      <c r="M20" s="36" t="inlineStr">
        <is>
          <t>BWS-R4-01   ·   Sun 01 Nov   ·   18:11</t>
        </is>
      </c>
      <c r="N20" s="37" t="n"/>
      <c r="Q20" s="49" t="inlineStr">
        <is>
          <t>🏆 CHAMPION</t>
        </is>
      </c>
    </row>
    <row r="21" ht="17" customHeight="1">
      <c r="L21" s="45" t="n"/>
      <c r="M21" s="38">
        <f>IF(N21="","W BWS-R3-01",IF(N21=J13,I13&amp;"",IF(N21=J14,I14&amp;"","W BWS-R3-01")))</f>
        <v/>
      </c>
      <c r="N21" s="47" t="n"/>
      <c r="O21" s="50" t="n"/>
      <c r="P21" s="50" t="n"/>
      <c r="Q21" s="51">
        <f>IF(R21="","W BWS-R4-01",IF(R21=N21,M21&amp;"",IF(R21=N22,M22&amp;"","W BWS-R4-01")))</f>
        <v/>
      </c>
      <c r="R21" s="52" t="n"/>
    </row>
    <row r="22" ht="17" customHeight="1">
      <c r="A22" s="36" t="inlineStr">
        <is>
          <t>BWS-R1-03   ·   Sun 01 Nov   ·   11:48</t>
        </is>
      </c>
      <c r="B22" s="37" t="n"/>
      <c r="K22" s="43" t="n"/>
      <c r="L22" s="45" t="n"/>
      <c r="M22" s="41">
        <f>IF(N22="","W BWS-R3-02",IF(N22=J29,I29&amp;"",IF(N22=J30,I30&amp;"","W BWS-R3-02")))</f>
        <v/>
      </c>
      <c r="N22" s="46" t="n"/>
      <c r="Q22" s="53" t="inlineStr">
        <is>
          <t>🥈 RUNNER-UP</t>
        </is>
      </c>
    </row>
    <row r="23" ht="17" customHeight="1">
      <c r="A23" s="38" t="inlineStr">
        <is>
          <t>Team 2</t>
        </is>
      </c>
      <c r="B23" s="39" t="inlineStr">
        <is>
          <t>Anima</t>
        </is>
      </c>
      <c r="C23" s="40" t="n"/>
      <c r="K23" s="43" t="n"/>
      <c r="Q23" s="54">
        <f>IF(R21="","L final",IF(R21=N21,M22&amp;"",IF(R21=N22,M21&amp;"","L final")))</f>
        <v/>
      </c>
      <c r="R23" s="55">
        <f>IF(R21="","",IF(R21=N21,N22&amp;"",IF(R21=N22,N21&amp;"","")))</f>
        <v/>
      </c>
    </row>
    <row r="24" ht="17" customHeight="1">
      <c r="A24" s="41" t="inlineStr">
        <is>
          <t>Team 3</t>
        </is>
      </c>
      <c r="B24" s="42" t="inlineStr">
        <is>
          <t>Anjaly</t>
        </is>
      </c>
      <c r="C24" s="43" t="n"/>
      <c r="E24" s="36" t="inlineStr">
        <is>
          <t>BWS-R2-03   ·   Sun 01 Nov   ·   15:30</t>
        </is>
      </c>
      <c r="F24" s="37" t="n"/>
      <c r="K24" s="43" t="n"/>
    </row>
    <row r="25" ht="17" customHeight="1">
      <c r="C25" s="43" t="n"/>
      <c r="E25" s="44" t="inlineStr">
        <is>
          <t>Team 5</t>
        </is>
      </c>
      <c r="F25" s="39" t="inlineStr">
        <is>
          <t>Sradha Santhosh</t>
        </is>
      </c>
      <c r="G25" s="40" t="n"/>
      <c r="K25" s="43" t="n"/>
      <c r="M25" s="56" t="inlineStr">
        <is>
          <t>BWS-3P-01   ·   3rd Place   ·   Sun 01 Nov   ·   17:21</t>
        </is>
      </c>
      <c r="N25" s="37" t="n"/>
      <c r="Q25" s="57" t="inlineStr">
        <is>
          <t>🥉 3RD PLACE</t>
        </is>
      </c>
    </row>
    <row r="26" ht="17" customHeight="1">
      <c r="D26" s="45" t="n"/>
      <c r="E26" s="41">
        <f>IF(F26="","W BWS-R1-03",IF(F26=B23,A23&amp;"",IF(F26=B24,A24&amp;"","W BWS-R1-03")))</f>
        <v/>
      </c>
      <c r="F26" s="46" t="n"/>
      <c r="G26" s="43" t="n"/>
      <c r="K26" s="43" t="n"/>
      <c r="M26" s="38">
        <f>IF(N21="","L BWS-R3-01",IF(N21=J13,I14&amp;"",IF(N21=J14,I13&amp;"","L BWS-R3-01")))</f>
        <v/>
      </c>
      <c r="N26" s="30">
        <f>IF(N21="","",IF(N21=J13,J14&amp;"",IF(N21=J14,J13&amp;"","")))</f>
        <v/>
      </c>
      <c r="O26" s="50" t="n"/>
      <c r="P26" s="50" t="n"/>
      <c r="Q26" s="58">
        <f>IF(R26="","W BWS-3P-01",IF(R26=N26,M26&amp;"",IF(R26=N27,M27&amp;"","W BWS-3P-01")))</f>
        <v/>
      </c>
      <c r="R26" s="59" t="n"/>
    </row>
    <row r="27" ht="17" customHeight="1">
      <c r="G27" s="43" t="n"/>
      <c r="K27" s="43" t="n"/>
      <c r="M27" s="41">
        <f>IF(N22="","L BWS-R3-02",IF(N22=J29,I30&amp;"",IF(N22=J30,I29&amp;"","L BWS-R3-02")))</f>
        <v/>
      </c>
      <c r="N27" s="60">
        <f>IF(N22="","",IF(N22=J29,J30&amp;"",IF(N22=J30,J29&amp;"","")))</f>
        <v/>
      </c>
    </row>
    <row r="28" ht="17" customHeight="1">
      <c r="G28" s="43" t="n"/>
      <c r="I28" s="36" t="inlineStr">
        <is>
          <t>BWS-R3-02   ·   Sun 01 Nov   ·   16:31</t>
        </is>
      </c>
      <c r="J28" s="37" t="n"/>
      <c r="K28" s="43" t="n"/>
    </row>
    <row r="29" ht="17" customHeight="1">
      <c r="H29" s="45" t="n"/>
      <c r="I29" s="38">
        <f>IF(J29="","W BWS-R2-03",IF(J29=F25,E25&amp;"",IF(J29=F26,E26&amp;"","W BWS-R2-03")))</f>
        <v/>
      </c>
      <c r="J29" s="47" t="n"/>
      <c r="K29" s="48" t="n"/>
    </row>
    <row r="30" ht="17" customHeight="1">
      <c r="A30" s="36" t="inlineStr">
        <is>
          <t>BWS-R1-04   ·   Sun 01 Nov   ·   12:06</t>
        </is>
      </c>
      <c r="B30" s="37" t="n"/>
      <c r="G30" s="43" t="n"/>
      <c r="H30" s="45" t="n"/>
      <c r="I30" s="41">
        <f>IF(J30="","W BWS-R2-04",IF(J30=F33,E33&amp;"",IF(J30=F34,E34&amp;"","W BWS-R2-04")))</f>
        <v/>
      </c>
      <c r="J30" s="46" t="n"/>
    </row>
    <row r="31" ht="17" customHeight="1">
      <c r="A31" s="38" t="inlineStr">
        <is>
          <t>Team 2</t>
        </is>
      </c>
      <c r="B31" s="39" t="inlineStr">
        <is>
          <t>Tressy</t>
        </is>
      </c>
      <c r="C31" s="40" t="n"/>
      <c r="G31" s="43" t="n"/>
    </row>
    <row r="32" ht="17" customHeight="1">
      <c r="A32" s="41" t="inlineStr">
        <is>
          <t>Team 1</t>
        </is>
      </c>
      <c r="B32" s="42" t="inlineStr">
        <is>
          <t>Nivya Mathew</t>
        </is>
      </c>
      <c r="C32" s="43" t="n"/>
      <c r="E32" s="36" t="inlineStr">
        <is>
          <t>BWS-R2-04   ·   Sun 01 Nov   ·   15:30</t>
        </is>
      </c>
      <c r="F32" s="37" t="n"/>
      <c r="G32" s="43" t="n"/>
    </row>
    <row r="33" ht="17" customHeight="1">
      <c r="C33" s="43" t="n"/>
      <c r="E33" s="44" t="inlineStr">
        <is>
          <t>Team 4</t>
        </is>
      </c>
      <c r="F33" s="39" t="inlineStr">
        <is>
          <t>Gayathri</t>
        </is>
      </c>
      <c r="G33" s="48" t="n"/>
    </row>
    <row r="34" ht="17" customHeight="1">
      <c r="D34" s="45" t="n"/>
      <c r="E34" s="41">
        <f>IF(F34="","W BWS-R1-04",IF(F34=B31,A31&amp;"",IF(F34=B32,A32&amp;"","W BWS-R1-04")))</f>
        <v/>
      </c>
      <c r="F34" s="46" t="n"/>
    </row>
    <row r="35" ht="17" customHeight="1"/>
    <row r="36" ht="17" customHeight="1"/>
    <row r="37" ht="17" customHeight="1"/>
    <row r="38" ht="17" customHeight="1"/>
    <row r="39" ht="17" customHeight="1"/>
  </sheetData>
  <mergeCells count="26">
    <mergeCell ref="Q4:R5"/>
    <mergeCell ref="A30:B30"/>
    <mergeCell ref="Q25:R25"/>
    <mergeCell ref="E24:F24"/>
    <mergeCell ref="E5:F5"/>
    <mergeCell ref="M5:N5"/>
    <mergeCell ref="E8:F8"/>
    <mergeCell ref="A6:B6"/>
    <mergeCell ref="E4:F4"/>
    <mergeCell ref="M20:N20"/>
    <mergeCell ref="A2:R2"/>
    <mergeCell ref="Q20:R20"/>
    <mergeCell ref="I28:J28"/>
    <mergeCell ref="I12:J12"/>
    <mergeCell ref="M25:N25"/>
    <mergeCell ref="A5:B5"/>
    <mergeCell ref="I5:J5"/>
    <mergeCell ref="A14:B14"/>
    <mergeCell ref="Q22:R22"/>
    <mergeCell ref="A22:B22"/>
    <mergeCell ref="A4:B4"/>
    <mergeCell ref="I4:J4"/>
    <mergeCell ref="E16:F16"/>
    <mergeCell ref="E32:F32"/>
    <mergeCell ref="A1:R1"/>
    <mergeCell ref="M4:N4"/>
  </mergeCells>
  <dataValidations count="12">
    <dataValidation sqref="F10" showDropDown="0" showInputMessage="0" showErrorMessage="0" allowBlank="1" type="list">
      <formula1>$B$7:$B$8</formula1>
    </dataValidation>
    <dataValidation sqref="F18" showDropDown="0" showInputMessage="0" showErrorMessage="0" allowBlank="1" type="list">
      <formula1>$B$15:$B$16</formula1>
    </dataValidation>
    <dataValidation sqref="F26" showDropDown="0" showInputMessage="0" showErrorMessage="0" allowBlank="1" type="list">
      <formula1>$B$23:$B$24</formula1>
    </dataValidation>
    <dataValidation sqref="F34" showDropDown="0" showInputMessage="0" showErrorMessage="0" allowBlank="1" type="list">
      <formula1>$B$31:$B$32</formula1>
    </dataValidation>
    <dataValidation sqref="J13" showDropDown="0" showInputMessage="0" showErrorMessage="0" allowBlank="1" type="list">
      <formula1>$F$9:$F$10</formula1>
    </dataValidation>
    <dataValidation sqref="J14" showDropDown="0" showInputMessage="0" showErrorMessage="0" allowBlank="1" type="list">
      <formula1>$F$17:$F$18</formula1>
    </dataValidation>
    <dataValidation sqref="J29" showDropDown="0" showInputMessage="0" showErrorMessage="0" allowBlank="1" type="list">
      <formula1>$F$25:$F$26</formula1>
    </dataValidation>
    <dataValidation sqref="J30" showDropDown="0" showInputMessage="0" showErrorMessage="0" allowBlank="1" type="list">
      <formula1>$F$33:$F$34</formula1>
    </dataValidation>
    <dataValidation sqref="N21" showDropDown="0" showInputMessage="0" showErrorMessage="0" allowBlank="1" type="list">
      <formula1>$J$13:$J$14</formula1>
    </dataValidation>
    <dataValidation sqref="N22" showDropDown="0" showInputMessage="0" showErrorMessage="0" allowBlank="1" type="list">
      <formula1>$J$29:$J$30</formula1>
    </dataValidation>
    <dataValidation sqref="R21" showDropDown="0" showInputMessage="0" showErrorMessage="0" allowBlank="1" type="list">
      <formula1>$N$21:$N$22</formula1>
    </dataValidation>
    <dataValidation sqref="R26" showDropDown="0" showInputMessage="0" showErrorMessage="0" allowBlank="1" type="list">
      <formula1>$N$26:$N$27</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30"/>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2.5" customWidth="1" min="3" max="3"/>
    <col width="2.5" customWidth="1" min="4" max="4"/>
    <col width="12" customWidth="1" min="5" max="5"/>
    <col width="30" customWidth="1" min="6" max="6"/>
    <col width="2.5" customWidth="1" min="7" max="7"/>
    <col width="2.5" customWidth="1" min="8" max="8"/>
    <col width="12" customWidth="1" min="9" max="9"/>
    <col width="30" customWidth="1" min="10" max="10"/>
    <col width="2.5" customWidth="1" min="11" max="11"/>
    <col width="2.5" customWidth="1" min="12" max="12"/>
    <col width="12" customWidth="1" min="13" max="13"/>
    <col width="30" customWidth="1" min="14" max="14"/>
    <col width="2.5" customWidth="1" min="15" max="15"/>
    <col width="2.5" customWidth="1" min="16" max="16"/>
    <col width="12" customWidth="1" min="17" max="17"/>
    <col width="30" customWidth="1" min="18" max="18"/>
    <col width="2.5" customWidth="1" min="19" max="19"/>
    <col width="2.5" customWidth="1" min="20" max="20"/>
  </cols>
  <sheetData>
    <row r="1" ht="30" customHeight="1">
      <c r="A1" s="1" t="inlineStr">
        <is>
          <t>Badminton Men's Doubles — Knockout Bracket   (11 entries)</t>
        </is>
      </c>
    </row>
    <row r="2">
      <c r="A2" s="2" t="inlineStr">
        <is>
          <t>Random draw, teammates kept apart in their first match.   Grey team cell = bye (starts in Round 2).</t>
        </is>
      </c>
    </row>
    <row r="4" ht="20" customHeight="1">
      <c r="A4" s="34" t="inlineStr">
        <is>
          <t>Round 1</t>
        </is>
      </c>
      <c r="E4" s="34" t="inlineStr">
        <is>
          <t>Quarter-finals</t>
        </is>
      </c>
      <c r="I4" s="34" t="inlineStr">
        <is>
          <t>Semi-finals</t>
        </is>
      </c>
      <c r="M4" s="34" t="inlineStr">
        <is>
          <t>Final</t>
        </is>
      </c>
      <c r="Q4" s="34" t="inlineStr">
        <is>
          <t>Champion</t>
        </is>
      </c>
    </row>
    <row r="5">
      <c r="A5" s="35" t="inlineStr">
        <is>
          <t>Sun 01 Nov  ·  3 matches</t>
        </is>
      </c>
      <c r="E5" s="35" t="inlineStr">
        <is>
          <t>Sun 01 Nov  ·  4 matches</t>
        </is>
      </c>
      <c r="I5" s="35" t="inlineStr">
        <is>
          <t>Sun 01 Nov  ·  2 matches</t>
        </is>
      </c>
      <c r="M5" s="35" t="inlineStr">
        <is>
          <t>Sun 01 Nov  ·  1 match</t>
        </is>
      </c>
    </row>
    <row r="6" ht="17" customHeight="1">
      <c r="A6" s="36" t="inlineStr">
        <is>
          <t>BMD-R1-01   ·   Sun 01 Nov   ·   10:00</t>
        </is>
      </c>
      <c r="B6" s="37" t="n"/>
    </row>
    <row r="7" ht="17" customHeight="1">
      <c r="A7" s="38" t="inlineStr">
        <is>
          <t>Team 2</t>
        </is>
      </c>
      <c r="B7" s="39" t="inlineStr">
        <is>
          <t>Thomas &amp; Sravan</t>
        </is>
      </c>
      <c r="C7" s="40" t="n"/>
    </row>
    <row r="8" ht="17" customHeight="1">
      <c r="A8" s="41" t="inlineStr">
        <is>
          <t>Team 5</t>
        </is>
      </c>
      <c r="B8" s="42" t="inlineStr">
        <is>
          <t>Nidheesh P V &amp; Adhith Vinoj</t>
        </is>
      </c>
      <c r="C8" s="43" t="n"/>
      <c r="E8" s="36" t="inlineStr">
        <is>
          <t>BMD-R2-01   ·   Sun 01 Nov   ·   11:30</t>
        </is>
      </c>
      <c r="F8" s="37" t="n"/>
    </row>
    <row r="9" ht="17" customHeight="1">
      <c r="C9" s="43" t="n"/>
      <c r="E9" s="44" t="inlineStr">
        <is>
          <t>Team 3</t>
        </is>
      </c>
      <c r="F9" s="39" t="inlineStr">
        <is>
          <t>Ashmil &amp; Jerishab</t>
        </is>
      </c>
      <c r="G9" s="40" t="n"/>
    </row>
    <row r="10" ht="17" customHeight="1">
      <c r="D10" s="45" t="n"/>
      <c r="E10" s="41">
        <f>IF(F10="","W BMD-R1-01",IF(F10=B7,A7&amp;"",IF(F10=B8,A8&amp;"","W BMD-R1-01")))</f>
        <v/>
      </c>
      <c r="F10" s="46" t="n"/>
      <c r="G10" s="43" t="n"/>
    </row>
    <row r="11" ht="17" customHeight="1">
      <c r="G11" s="43" t="n"/>
      <c r="I11" s="36" t="inlineStr">
        <is>
          <t>BMD-R3-01   ·   Sun 01 Nov   ·   14:54</t>
        </is>
      </c>
      <c r="J11" s="37" t="n"/>
    </row>
    <row r="12" ht="17" customHeight="1">
      <c r="H12" s="45" t="n"/>
      <c r="I12" s="38">
        <f>IF(J12="","W BMD-R2-01",IF(J12=F9,E9&amp;"",IF(J12=F10,E10&amp;"","W BMD-R2-01")))</f>
        <v/>
      </c>
      <c r="J12" s="47" t="n"/>
      <c r="K12" s="40" t="n"/>
    </row>
    <row r="13" ht="17" customHeight="1">
      <c r="G13" s="43" t="n"/>
      <c r="H13" s="45" t="n"/>
      <c r="I13" s="41">
        <f>IF(J13="","W BMD-R2-02",IF(J13=F15,E15&amp;"",IF(J13=F16,E16&amp;"","W BMD-R2-02")))</f>
        <v/>
      </c>
      <c r="J13" s="46" t="n"/>
      <c r="K13" s="43" t="n"/>
    </row>
    <row r="14" ht="17" customHeight="1">
      <c r="E14" s="36" t="inlineStr">
        <is>
          <t>BMD-R2-02   ·   Sun 01 Nov   ·   12:06</t>
        </is>
      </c>
      <c r="F14" s="37" t="n"/>
      <c r="G14" s="43" t="n"/>
      <c r="K14" s="43" t="n"/>
    </row>
    <row r="15" ht="17" customHeight="1">
      <c r="E15" s="44" t="inlineStr">
        <is>
          <t>Team 6</t>
        </is>
      </c>
      <c r="F15" s="39" t="inlineStr">
        <is>
          <t>Sharan &amp; Musthaq</t>
        </is>
      </c>
      <c r="G15" s="48" t="n"/>
      <c r="K15" s="43" t="n"/>
    </row>
    <row r="16" ht="17" customHeight="1">
      <c r="E16" s="61" t="inlineStr">
        <is>
          <t>Team 1</t>
        </is>
      </c>
      <c r="F16" s="42" t="inlineStr">
        <is>
          <t>Amit &amp; Rishikesh</t>
        </is>
      </c>
      <c r="K16" s="43" t="n"/>
    </row>
    <row r="17" ht="17" customHeight="1">
      <c r="K17" s="43" t="n"/>
    </row>
    <row r="18" ht="17" customHeight="1">
      <c r="A18" s="36" t="inlineStr">
        <is>
          <t>BMD-R1-02   ·   Sun 01 Nov   ·   10:00</t>
        </is>
      </c>
      <c r="B18" s="37" t="n"/>
      <c r="K18" s="43" t="n"/>
      <c r="M18" s="36" t="inlineStr">
        <is>
          <t>BMD-R4-01   ·   Sun 01 Nov   ·   17:39</t>
        </is>
      </c>
      <c r="N18" s="37" t="n"/>
      <c r="Q18" s="49" t="inlineStr">
        <is>
          <t>🏆 CHAMPION</t>
        </is>
      </c>
    </row>
    <row r="19" ht="17" customHeight="1">
      <c r="A19" s="38" t="inlineStr">
        <is>
          <t>Team 3</t>
        </is>
      </c>
      <c r="B19" s="39" t="inlineStr">
        <is>
          <t>Rithik &amp; Jerin</t>
        </is>
      </c>
      <c r="C19" s="40" t="n"/>
      <c r="L19" s="45" t="n"/>
      <c r="M19" s="38">
        <f>IF(N19="","W BMD-R3-01",IF(N19=J12,I12&amp;"",IF(N19=J13,I13&amp;"","W BMD-R3-01")))</f>
        <v/>
      </c>
      <c r="N19" s="47" t="n"/>
      <c r="O19" s="50" t="n"/>
      <c r="P19" s="50" t="n"/>
      <c r="Q19" s="51">
        <f>IF(R19="","W BMD-R4-01",IF(R19=N19,M19&amp;"",IF(R19=N20,M20&amp;"","W BMD-R4-01")))</f>
        <v/>
      </c>
      <c r="R19" s="52" t="n"/>
    </row>
    <row r="20" ht="17" customHeight="1">
      <c r="A20" s="41" t="inlineStr">
        <is>
          <t>Team 4</t>
        </is>
      </c>
      <c r="B20" s="42" t="inlineStr">
        <is>
          <t>Sahil M I &amp; Rajeesh C V</t>
        </is>
      </c>
      <c r="C20" s="43" t="n"/>
      <c r="E20" s="36" t="inlineStr">
        <is>
          <t>BMD-R2-03   ·   Sun 01 Nov   ·   12:24</t>
        </is>
      </c>
      <c r="F20" s="37" t="n"/>
      <c r="K20" s="43" t="n"/>
      <c r="L20" s="45" t="n"/>
      <c r="M20" s="41">
        <f>IF(N20="","W BMD-R3-02",IF(N20=J25,I25&amp;"",IF(N20=J26,I26&amp;"","W BMD-R3-02")))</f>
        <v/>
      </c>
      <c r="N20" s="46" t="n"/>
      <c r="Q20" s="53" t="inlineStr">
        <is>
          <t>🥈 RUNNER-UP</t>
        </is>
      </c>
    </row>
    <row r="21" ht="17" customHeight="1">
      <c r="C21" s="43" t="n"/>
      <c r="E21" s="44" t="inlineStr">
        <is>
          <t>Team 6</t>
        </is>
      </c>
      <c r="F21" s="39" t="inlineStr">
        <is>
          <t>Joel &amp; Jayesh</t>
        </is>
      </c>
      <c r="G21" s="40" t="n"/>
      <c r="K21" s="43" t="n"/>
      <c r="Q21" s="54">
        <f>IF(R19="","L final",IF(R19=N19,M20&amp;"",IF(R19=N20,M19&amp;"","L final")))</f>
        <v/>
      </c>
      <c r="R21" s="55">
        <f>IF(R19="","",IF(R19=N19,N20&amp;"",IF(R19=N20,N19&amp;"","")))</f>
        <v/>
      </c>
    </row>
    <row r="22" ht="17" customHeight="1">
      <c r="D22" s="45" t="n"/>
      <c r="E22" s="41">
        <f>IF(F22="","W BMD-R1-02",IF(F22=B19,A19&amp;"",IF(F22=B20,A20&amp;"","W BMD-R1-02")))</f>
        <v/>
      </c>
      <c r="F22" s="46" t="n"/>
      <c r="G22" s="43" t="n"/>
      <c r="K22" s="43" t="n"/>
    </row>
    <row r="23" ht="17" customHeight="1">
      <c r="G23" s="43" t="n"/>
      <c r="K23" s="43" t="n"/>
      <c r="M23" s="56" t="inlineStr">
        <is>
          <t>BMD-3P-01   ·   3rd Place   ·   Sun 01 Nov   ·   16:49</t>
        </is>
      </c>
      <c r="N23" s="37" t="n"/>
      <c r="Q23" s="57" t="inlineStr">
        <is>
          <t>🥉 3RD PLACE</t>
        </is>
      </c>
    </row>
    <row r="24" ht="17" customHeight="1">
      <c r="G24" s="43" t="n"/>
      <c r="I24" s="36" t="inlineStr">
        <is>
          <t>BMD-R3-02   ·   Sun 01 Nov   ·   14:54</t>
        </is>
      </c>
      <c r="J24" s="37" t="n"/>
      <c r="K24" s="43" t="n"/>
      <c r="M24" s="38">
        <f>IF(N19="","L BMD-R3-01",IF(N19=J12,I13&amp;"",IF(N19=J13,I12&amp;"","L BMD-R3-01")))</f>
        <v/>
      </c>
      <c r="N24" s="30">
        <f>IF(N19="","",IF(N19=J12,J13&amp;"",IF(N19=J13,J12&amp;"","")))</f>
        <v/>
      </c>
      <c r="O24" s="50" t="n"/>
      <c r="P24" s="50" t="n"/>
      <c r="Q24" s="58">
        <f>IF(R24="","W BMD-3P-01",IF(R24=N24,M24&amp;"",IF(R24=N25,M25&amp;"","W BMD-3P-01")))</f>
        <v/>
      </c>
      <c r="R24" s="59" t="n"/>
    </row>
    <row r="25" ht="17" customHeight="1">
      <c r="H25" s="45" t="n"/>
      <c r="I25" s="38">
        <f>IF(J25="","W BMD-R2-03",IF(J25=F21,E21&amp;"",IF(J25=F22,E22&amp;"","W BMD-R2-03")))</f>
        <v/>
      </c>
      <c r="J25" s="47" t="n"/>
      <c r="K25" s="48" t="n"/>
      <c r="M25" s="41">
        <f>IF(N20="","L BMD-R3-02",IF(N20=J25,I26&amp;"",IF(N20=J26,I25&amp;"","L BMD-R3-02")))</f>
        <v/>
      </c>
      <c r="N25" s="60">
        <f>IF(N20="","",IF(N20=J25,J26&amp;"",IF(N20=J26,J25&amp;"","")))</f>
        <v/>
      </c>
    </row>
    <row r="26" ht="17" customHeight="1">
      <c r="A26" s="36" t="inlineStr">
        <is>
          <t>BMD-R1-03   ·   Sun 01 Nov   ·   10:18</t>
        </is>
      </c>
      <c r="B26" s="37" t="n"/>
      <c r="G26" s="43" t="n"/>
      <c r="H26" s="45" t="n"/>
      <c r="I26" s="41">
        <f>IF(J26="","W BMD-R2-04",IF(J26=F29,E29&amp;"",IF(J26=F30,E30&amp;"","W BMD-R2-04")))</f>
        <v/>
      </c>
      <c r="J26" s="46" t="n"/>
    </row>
    <row r="27" ht="17" customHeight="1">
      <c r="A27" s="38" t="inlineStr">
        <is>
          <t>Team 4</t>
        </is>
      </c>
      <c r="B27" s="39" t="inlineStr">
        <is>
          <t>Don &amp; Gautham</t>
        </is>
      </c>
      <c r="C27" s="40" t="n"/>
      <c r="G27" s="43" t="n"/>
    </row>
    <row r="28" ht="17" customHeight="1">
      <c r="A28" s="41" t="inlineStr">
        <is>
          <t>Team 1</t>
        </is>
      </c>
      <c r="B28" s="42" t="inlineStr">
        <is>
          <t>Joyel &amp; Jithu</t>
        </is>
      </c>
      <c r="C28" s="43" t="n"/>
      <c r="E28" s="36" t="inlineStr">
        <is>
          <t>BMD-R2-04   ·   Sun 01 Nov   ·   12:24</t>
        </is>
      </c>
      <c r="F28" s="37" t="n"/>
      <c r="G28" s="43" t="n"/>
    </row>
    <row r="29" ht="17" customHeight="1">
      <c r="C29" s="43" t="n"/>
      <c r="E29" s="44" t="inlineStr">
        <is>
          <t>Team 2</t>
        </is>
      </c>
      <c r="F29" s="39" t="inlineStr">
        <is>
          <t>Gokul &amp; Amal</t>
        </is>
      </c>
      <c r="G29" s="48" t="n"/>
    </row>
    <row r="30" ht="17" customHeight="1">
      <c r="D30" s="45" t="n"/>
      <c r="E30" s="41">
        <f>IF(F30="","W BMD-R1-03",IF(F30=B27,A27&amp;"",IF(F30=B28,A28&amp;"","W BMD-R1-03")))</f>
        <v/>
      </c>
      <c r="F30" s="46" t="n"/>
    </row>
    <row r="31" ht="17" customHeight="1"/>
    <row r="32" ht="17" customHeight="1"/>
    <row r="33" ht="17" customHeight="1"/>
    <row r="34" ht="17" customHeight="1"/>
    <row r="35" ht="17" customHeight="1"/>
  </sheetData>
  <mergeCells count="25">
    <mergeCell ref="Q4:R5"/>
    <mergeCell ref="I11:J11"/>
    <mergeCell ref="E5:F5"/>
    <mergeCell ref="M5:N5"/>
    <mergeCell ref="E14:F14"/>
    <mergeCell ref="Q18:R18"/>
    <mergeCell ref="E8:F8"/>
    <mergeCell ref="A6:B6"/>
    <mergeCell ref="E4:F4"/>
    <mergeCell ref="E20:F20"/>
    <mergeCell ref="A2:R2"/>
    <mergeCell ref="Q20:R20"/>
    <mergeCell ref="Q23:R23"/>
    <mergeCell ref="E28:F28"/>
    <mergeCell ref="A18:B18"/>
    <mergeCell ref="A26:B26"/>
    <mergeCell ref="I24:J24"/>
    <mergeCell ref="A5:B5"/>
    <mergeCell ref="I5:J5"/>
    <mergeCell ref="M18:N18"/>
    <mergeCell ref="A4:B4"/>
    <mergeCell ref="I4:J4"/>
    <mergeCell ref="M23:N23"/>
    <mergeCell ref="A1:R1"/>
    <mergeCell ref="M4:N4"/>
  </mergeCells>
  <dataValidations count="11">
    <dataValidation sqref="F10" showDropDown="0" showInputMessage="0" showErrorMessage="0" allowBlank="1" type="list">
      <formula1>$B$7:$B$8</formula1>
    </dataValidation>
    <dataValidation sqref="F22" showDropDown="0" showInputMessage="0" showErrorMessage="0" allowBlank="1" type="list">
      <formula1>$B$19:$B$20</formula1>
    </dataValidation>
    <dataValidation sqref="F30" showDropDown="0" showInputMessage="0" showErrorMessage="0" allowBlank="1" type="list">
      <formula1>$B$27:$B$28</formula1>
    </dataValidation>
    <dataValidation sqref="J12" showDropDown="0" showInputMessage="0" showErrorMessage="0" allowBlank="1" type="list">
      <formula1>$F$9:$F$10</formula1>
    </dataValidation>
    <dataValidation sqref="J13" showDropDown="0" showInputMessage="0" showErrorMessage="0" allowBlank="1" type="list">
      <formula1>$F$15:$F$16</formula1>
    </dataValidation>
    <dataValidation sqref="J25" showDropDown="0" showInputMessage="0" showErrorMessage="0" allowBlank="1" type="list">
      <formula1>$F$21:$F$22</formula1>
    </dataValidation>
    <dataValidation sqref="J26" showDropDown="0" showInputMessage="0" showErrorMessage="0" allowBlank="1" type="list">
      <formula1>$F$29:$F$30</formula1>
    </dataValidation>
    <dataValidation sqref="N19" showDropDown="0" showInputMessage="0" showErrorMessage="0" allowBlank="1" type="list">
      <formula1>$J$12:$J$13</formula1>
    </dataValidation>
    <dataValidation sqref="N20" showDropDown="0" showInputMessage="0" showErrorMessage="0" allowBlank="1" type="list">
      <formula1>$J$25:$J$26</formula1>
    </dataValidation>
    <dataValidation sqref="R19" showDropDown="0" showInputMessage="0" showErrorMessage="0" allowBlank="1" type="list">
      <formula1>$N$19:$N$20</formula1>
    </dataValidation>
    <dataValidation sqref="R24" showDropDown="0" showInputMessage="0" showErrorMessage="0" allowBlank="1" type="list">
      <formula1>$N$24:$N$25</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30"/>
  <sheetViews>
    <sheetView showGridLines="0" workbookViewId="0">
      <pane ySplit="5" topLeftCell="A6" activePane="bottomLeft" state="frozen"/>
      <selection pane="bottomLeft" activeCell="A1" sqref="A1"/>
    </sheetView>
  </sheetViews>
  <sheetFormatPr baseColWidth="8" defaultRowHeight="15"/>
  <cols>
    <col width="12" customWidth="1" min="1" max="1"/>
    <col width="30" customWidth="1" min="2" max="2"/>
    <col width="2.5" customWidth="1" min="3" max="3"/>
    <col width="2.5" customWidth="1" min="4" max="4"/>
    <col width="12" customWidth="1" min="5" max="5"/>
    <col width="30" customWidth="1" min="6" max="6"/>
    <col width="2.5" customWidth="1" min="7" max="7"/>
    <col width="2.5" customWidth="1" min="8" max="8"/>
    <col width="12" customWidth="1" min="9" max="9"/>
    <col width="30" customWidth="1" min="10" max="10"/>
    <col width="2.5" customWidth="1" min="11" max="11"/>
    <col width="2.5" customWidth="1" min="12" max="12"/>
    <col width="12" customWidth="1" min="13" max="13"/>
    <col width="30" customWidth="1" min="14" max="14"/>
    <col width="2.5" customWidth="1" min="15" max="15"/>
    <col width="2.5" customWidth="1" min="16" max="16"/>
    <col width="12" customWidth="1" min="17" max="17"/>
    <col width="30" customWidth="1" min="18" max="18"/>
    <col width="2.5" customWidth="1" min="19" max="19"/>
    <col width="2.5" customWidth="1" min="20" max="20"/>
  </cols>
  <sheetData>
    <row r="1" ht="30" customHeight="1">
      <c r="A1" s="1" t="inlineStr">
        <is>
          <t>Badminton Women's Doubles — Knockout Bracket   (11 entries)</t>
        </is>
      </c>
    </row>
    <row r="2">
      <c r="A2" s="2" t="inlineStr">
        <is>
          <t>Random draw, teammates kept apart in their first match.   Grey team cell = bye (starts in Round 2).</t>
        </is>
      </c>
    </row>
    <row r="4" ht="20" customHeight="1">
      <c r="A4" s="34" t="inlineStr">
        <is>
          <t>Round 1</t>
        </is>
      </c>
      <c r="E4" s="34" t="inlineStr">
        <is>
          <t>Quarter-finals</t>
        </is>
      </c>
      <c r="I4" s="34" t="inlineStr">
        <is>
          <t>Semi-finals</t>
        </is>
      </c>
      <c r="M4" s="34" t="inlineStr">
        <is>
          <t>Final</t>
        </is>
      </c>
      <c r="Q4" s="34" t="inlineStr">
        <is>
          <t>Champion</t>
        </is>
      </c>
    </row>
    <row r="5">
      <c r="A5" s="35" t="inlineStr">
        <is>
          <t>Sun 01 Nov  ·  3 matches</t>
        </is>
      </c>
      <c r="E5" s="35" t="inlineStr">
        <is>
          <t>Sun 01 Nov  ·  4 matches</t>
        </is>
      </c>
      <c r="I5" s="35" t="inlineStr">
        <is>
          <t>Sun 01 Nov  ·  2 matches</t>
        </is>
      </c>
      <c r="M5" s="35" t="inlineStr">
        <is>
          <t>Sun 01 Nov  ·  1 match</t>
        </is>
      </c>
    </row>
    <row r="6" ht="17" customHeight="1">
      <c r="A6" s="36" t="inlineStr">
        <is>
          <t>BWD-R1-01   ·   Sun 01 Nov   ·   10:18</t>
        </is>
      </c>
      <c r="B6" s="37" t="n"/>
    </row>
    <row r="7" ht="17" customHeight="1">
      <c r="A7" s="38" t="inlineStr">
        <is>
          <t>Team 1</t>
        </is>
      </c>
      <c r="B7" s="39" t="inlineStr">
        <is>
          <t>Nivya Peter &amp; Bilsy</t>
        </is>
      </c>
      <c r="C7" s="40" t="n"/>
    </row>
    <row r="8" ht="17" customHeight="1">
      <c r="A8" s="41" t="inlineStr">
        <is>
          <t>Team 3</t>
        </is>
      </c>
      <c r="B8" s="42" t="inlineStr">
        <is>
          <t>Neha &amp; Nandana</t>
        </is>
      </c>
      <c r="C8" s="43" t="n"/>
      <c r="E8" s="36" t="inlineStr">
        <is>
          <t>BWD-R2-01   ·   Sun 01 Nov   ·   12:42</t>
        </is>
      </c>
      <c r="F8" s="37" t="n"/>
    </row>
    <row r="9" ht="17" customHeight="1">
      <c r="C9" s="43" t="n"/>
      <c r="E9" s="44" t="inlineStr">
        <is>
          <t>Team 5</t>
        </is>
      </c>
      <c r="F9" s="39" t="inlineStr">
        <is>
          <t>Sradha Santhosh &amp; Vidhya M Robert</t>
        </is>
      </c>
      <c r="G9" s="40" t="n"/>
    </row>
    <row r="10" ht="17" customHeight="1">
      <c r="D10" s="45" t="n"/>
      <c r="E10" s="41">
        <f>IF(F10="","W BWD-R1-01",IF(F10=B7,A7&amp;"",IF(F10=B8,A8&amp;"","W BWD-R1-01")))</f>
        <v/>
      </c>
      <c r="F10" s="46" t="n"/>
      <c r="G10" s="43" t="n"/>
    </row>
    <row r="11" ht="17" customHeight="1">
      <c r="G11" s="43" t="n"/>
      <c r="I11" s="36" t="inlineStr">
        <is>
          <t>BWD-R3-01   ·   Sun 01 Nov   ·   16:06</t>
        </is>
      </c>
      <c r="J11" s="37" t="n"/>
    </row>
    <row r="12" ht="17" customHeight="1">
      <c r="H12" s="45" t="n"/>
      <c r="I12" s="38">
        <f>IF(J12="","W BWD-R2-01",IF(J12=F9,E9&amp;"",IF(J12=F10,E10&amp;"","W BWD-R2-01")))</f>
        <v/>
      </c>
      <c r="J12" s="47" t="n"/>
      <c r="K12" s="40" t="n"/>
    </row>
    <row r="13" ht="17" customHeight="1">
      <c r="G13" s="43" t="n"/>
      <c r="H13" s="45" t="n"/>
      <c r="I13" s="41">
        <f>IF(J13="","W BWD-R2-02",IF(J13=F15,E15&amp;"",IF(J13=F16,E16&amp;"","W BWD-R2-02")))</f>
        <v/>
      </c>
      <c r="J13" s="46" t="n"/>
      <c r="K13" s="43" t="n"/>
    </row>
    <row r="14" ht="17" customHeight="1">
      <c r="E14" s="36" t="inlineStr">
        <is>
          <t>BWD-R2-02   ·   Sun 01 Nov   ·   12:42</t>
        </is>
      </c>
      <c r="F14" s="37" t="n"/>
      <c r="G14" s="43" t="n"/>
      <c r="K14" s="43" t="n"/>
    </row>
    <row r="15" ht="17" customHeight="1">
      <c r="E15" s="44" t="inlineStr">
        <is>
          <t>Team 6</t>
        </is>
      </c>
      <c r="F15" s="39" t="inlineStr">
        <is>
          <t>Merrin &amp; Akshaya</t>
        </is>
      </c>
      <c r="G15" s="48" t="n"/>
      <c r="K15" s="43" t="n"/>
    </row>
    <row r="16" ht="17" customHeight="1">
      <c r="E16" s="61" t="inlineStr">
        <is>
          <t>Team 2</t>
        </is>
      </c>
      <c r="F16" s="42" t="inlineStr">
        <is>
          <t>Surya &amp; Josna</t>
        </is>
      </c>
      <c r="K16" s="43" t="n"/>
    </row>
    <row r="17" ht="17" customHeight="1">
      <c r="K17" s="43" t="n"/>
    </row>
    <row r="18" ht="17" customHeight="1">
      <c r="A18" s="36" t="inlineStr">
        <is>
          <t>BWD-R1-02   ·   Sun 01 Nov   ·   11:12</t>
        </is>
      </c>
      <c r="B18" s="37" t="n"/>
      <c r="K18" s="43" t="n"/>
      <c r="M18" s="36" t="inlineStr">
        <is>
          <t>BWD-R4-01   ·   Sun 01 Nov   ·   17:46</t>
        </is>
      </c>
      <c r="N18" s="37" t="n"/>
      <c r="Q18" s="49" t="inlineStr">
        <is>
          <t>🏆 CHAMPION</t>
        </is>
      </c>
    </row>
    <row r="19" ht="17" customHeight="1">
      <c r="A19" s="38" t="inlineStr">
        <is>
          <t>Team 6</t>
        </is>
      </c>
      <c r="B19" s="39" t="inlineStr">
        <is>
          <t>Ashna &amp; Akhila / Athira</t>
        </is>
      </c>
      <c r="C19" s="40" t="n"/>
      <c r="L19" s="45" t="n"/>
      <c r="M19" s="38">
        <f>IF(N19="","W BWD-R3-01",IF(N19=J12,I12&amp;"",IF(N19=J13,I13&amp;"","W BWD-R3-01")))</f>
        <v/>
      </c>
      <c r="N19" s="47" t="n"/>
      <c r="O19" s="50" t="n"/>
      <c r="P19" s="50" t="n"/>
      <c r="Q19" s="51">
        <f>IF(R19="","W BWD-R4-01",IF(R19=N19,M19&amp;"",IF(R19=N20,M20&amp;"","W BWD-R4-01")))</f>
        <v/>
      </c>
      <c r="R19" s="52" t="n"/>
    </row>
    <row r="20" ht="17" customHeight="1">
      <c r="A20" s="41" t="inlineStr">
        <is>
          <t>Team 3</t>
        </is>
      </c>
      <c r="B20" s="42" t="inlineStr">
        <is>
          <t>Anjaly &amp; Fadwah</t>
        </is>
      </c>
      <c r="C20" s="43" t="n"/>
      <c r="E20" s="36" t="inlineStr">
        <is>
          <t>BWD-R2-03   ·   Sun 01 Nov   ·   14:36</t>
        </is>
      </c>
      <c r="F20" s="37" t="n"/>
      <c r="K20" s="43" t="n"/>
      <c r="L20" s="45" t="n"/>
      <c r="M20" s="41">
        <f>IF(N20="","W BWD-R3-02",IF(N20=J25,I25&amp;"",IF(N20=J26,I26&amp;"","W BWD-R3-02")))</f>
        <v/>
      </c>
      <c r="N20" s="46" t="n"/>
      <c r="Q20" s="53" t="inlineStr">
        <is>
          <t>🥈 RUNNER-UP</t>
        </is>
      </c>
    </row>
    <row r="21" ht="17" customHeight="1">
      <c r="C21" s="43" t="n"/>
      <c r="E21" s="44" t="inlineStr">
        <is>
          <t>Team 4</t>
        </is>
      </c>
      <c r="F21" s="39" t="inlineStr">
        <is>
          <t>Aparna &amp; Gayathri</t>
        </is>
      </c>
      <c r="G21" s="40" t="n"/>
      <c r="K21" s="43" t="n"/>
      <c r="Q21" s="54">
        <f>IF(R19="","L final",IF(R19=N19,M20&amp;"",IF(R19=N20,M19&amp;"","L final")))</f>
        <v/>
      </c>
      <c r="R21" s="55">
        <f>IF(R19="","",IF(R19=N19,N20&amp;"",IF(R19=N20,N19&amp;"","")))</f>
        <v/>
      </c>
    </row>
    <row r="22" ht="17" customHeight="1">
      <c r="D22" s="45" t="n"/>
      <c r="E22" s="41">
        <f>IF(F22="","W BWD-R1-02",IF(F22=B19,A19&amp;"",IF(F22=B20,A20&amp;"","W BWD-R1-02")))</f>
        <v/>
      </c>
      <c r="F22" s="46" t="n"/>
      <c r="G22" s="43" t="n"/>
      <c r="K22" s="43" t="n"/>
    </row>
    <row r="23" ht="17" customHeight="1">
      <c r="G23" s="43" t="n"/>
      <c r="K23" s="43" t="n"/>
      <c r="M23" s="56" t="inlineStr">
        <is>
          <t>BWD-3P-01   ·   3rd Place   ·   Sun 01 Nov   ·   16:56</t>
        </is>
      </c>
      <c r="N23" s="37" t="n"/>
      <c r="Q23" s="57" t="inlineStr">
        <is>
          <t>🥉 3RD PLACE</t>
        </is>
      </c>
    </row>
    <row r="24" ht="17" customHeight="1">
      <c r="G24" s="43" t="n"/>
      <c r="I24" s="36" t="inlineStr">
        <is>
          <t>BWD-R3-02   ·   Sun 01 Nov   ·   16:06</t>
        </is>
      </c>
      <c r="J24" s="37" t="n"/>
      <c r="K24" s="43" t="n"/>
      <c r="M24" s="38">
        <f>IF(N19="","L BWD-R3-01",IF(N19=J12,I13&amp;"",IF(N19=J13,I12&amp;"","L BWD-R3-01")))</f>
        <v/>
      </c>
      <c r="N24" s="30">
        <f>IF(N19="","",IF(N19=J12,J13&amp;"",IF(N19=J13,J12&amp;"","")))</f>
        <v/>
      </c>
      <c r="O24" s="50" t="n"/>
      <c r="P24" s="50" t="n"/>
      <c r="Q24" s="58">
        <f>IF(R24="","W BWD-3P-01",IF(R24=N24,M24&amp;"",IF(R24=N25,M25&amp;"","W BWD-3P-01")))</f>
        <v/>
      </c>
      <c r="R24" s="59" t="n"/>
    </row>
    <row r="25" ht="17" customHeight="1">
      <c r="H25" s="45" t="n"/>
      <c r="I25" s="38">
        <f>IF(J25="","W BWD-R2-03",IF(J25=F21,E21&amp;"",IF(J25=F22,E22&amp;"","W BWD-R2-03")))</f>
        <v/>
      </c>
      <c r="J25" s="47" t="n"/>
      <c r="K25" s="48" t="n"/>
      <c r="M25" s="41">
        <f>IF(N20="","L BWD-R3-02",IF(N20=J25,I26&amp;"",IF(N20=J26,I25&amp;"","L BWD-R3-02")))</f>
        <v/>
      </c>
      <c r="N25" s="60">
        <f>IF(N20="","",IF(N20=J25,J26&amp;"",IF(N20=J26,J25&amp;"","")))</f>
        <v/>
      </c>
    </row>
    <row r="26" ht="17" customHeight="1">
      <c r="A26" s="36" t="inlineStr">
        <is>
          <t>BWD-R1-03   ·   Sun 01 Nov   ·   11:12</t>
        </is>
      </c>
      <c r="B26" s="37" t="n"/>
      <c r="G26" s="43" t="n"/>
      <c r="H26" s="45" t="n"/>
      <c r="I26" s="41">
        <f>IF(J26="","W BWD-R2-04",IF(J26=F29,E29&amp;"",IF(J26=F30,E30&amp;"","W BWD-R2-04")))</f>
        <v/>
      </c>
      <c r="J26" s="46" t="n"/>
    </row>
    <row r="27" ht="17" customHeight="1">
      <c r="A27" s="38" t="inlineStr">
        <is>
          <t>Team 4</t>
        </is>
      </c>
      <c r="B27" s="39" t="inlineStr">
        <is>
          <t>Manjusha &amp; AnnMary</t>
        </is>
      </c>
      <c r="C27" s="40" t="n"/>
      <c r="G27" s="43" t="n"/>
    </row>
    <row r="28" ht="17" customHeight="1">
      <c r="A28" s="41" t="inlineStr">
        <is>
          <t>Team 2</t>
        </is>
      </c>
      <c r="B28" s="42" t="inlineStr">
        <is>
          <t>Tressy &amp; Anima</t>
        </is>
      </c>
      <c r="C28" s="43" t="n"/>
      <c r="E28" s="36" t="inlineStr">
        <is>
          <t>BWD-R2-04   ·   Sun 01 Nov   ·   14:36</t>
        </is>
      </c>
      <c r="F28" s="37" t="n"/>
      <c r="G28" s="43" t="n"/>
    </row>
    <row r="29" ht="17" customHeight="1">
      <c r="C29" s="43" t="n"/>
      <c r="E29" s="44" t="inlineStr">
        <is>
          <t>Team 1</t>
        </is>
      </c>
      <c r="F29" s="39" t="inlineStr">
        <is>
          <t>Neethu &amp; Nivya Mathew</t>
        </is>
      </c>
      <c r="G29" s="48" t="n"/>
    </row>
    <row r="30" ht="17" customHeight="1">
      <c r="D30" s="45" t="n"/>
      <c r="E30" s="41">
        <f>IF(F30="","W BWD-R1-03",IF(F30=B27,A27&amp;"",IF(F30=B28,A28&amp;"","W BWD-R1-03")))</f>
        <v/>
      </c>
      <c r="F30" s="46" t="n"/>
    </row>
    <row r="31" ht="17" customHeight="1"/>
    <row r="32" ht="17" customHeight="1"/>
    <row r="33" ht="17" customHeight="1"/>
    <row r="34" ht="17" customHeight="1"/>
    <row r="35" ht="17" customHeight="1"/>
  </sheetData>
  <mergeCells count="25">
    <mergeCell ref="Q4:R5"/>
    <mergeCell ref="I11:J11"/>
    <mergeCell ref="E5:F5"/>
    <mergeCell ref="M5:N5"/>
    <mergeCell ref="E14:F14"/>
    <mergeCell ref="Q18:R18"/>
    <mergeCell ref="E8:F8"/>
    <mergeCell ref="A6:B6"/>
    <mergeCell ref="E4:F4"/>
    <mergeCell ref="E20:F20"/>
    <mergeCell ref="A2:R2"/>
    <mergeCell ref="Q20:R20"/>
    <mergeCell ref="Q23:R23"/>
    <mergeCell ref="E28:F28"/>
    <mergeCell ref="A18:B18"/>
    <mergeCell ref="A26:B26"/>
    <mergeCell ref="I24:J24"/>
    <mergeCell ref="A5:B5"/>
    <mergeCell ref="I5:J5"/>
    <mergeCell ref="M18:N18"/>
    <mergeCell ref="A4:B4"/>
    <mergeCell ref="I4:J4"/>
    <mergeCell ref="M23:N23"/>
    <mergeCell ref="A1:R1"/>
    <mergeCell ref="M4:N4"/>
  </mergeCells>
  <dataValidations count="11">
    <dataValidation sqref="F10" showDropDown="0" showInputMessage="0" showErrorMessage="0" allowBlank="1" type="list">
      <formula1>$B$7:$B$8</formula1>
    </dataValidation>
    <dataValidation sqref="F22" showDropDown="0" showInputMessage="0" showErrorMessage="0" allowBlank="1" type="list">
      <formula1>$B$19:$B$20</formula1>
    </dataValidation>
    <dataValidation sqref="F30" showDropDown="0" showInputMessage="0" showErrorMessage="0" allowBlank="1" type="list">
      <formula1>$B$27:$B$28</formula1>
    </dataValidation>
    <dataValidation sqref="J12" showDropDown="0" showInputMessage="0" showErrorMessage="0" allowBlank="1" type="list">
      <formula1>$F$9:$F$10</formula1>
    </dataValidation>
    <dataValidation sqref="J13" showDropDown="0" showInputMessage="0" showErrorMessage="0" allowBlank="1" type="list">
      <formula1>$F$15:$F$16</formula1>
    </dataValidation>
    <dataValidation sqref="J25" showDropDown="0" showInputMessage="0" showErrorMessage="0" allowBlank="1" type="list">
      <formula1>$F$21:$F$22</formula1>
    </dataValidation>
    <dataValidation sqref="J26" showDropDown="0" showInputMessage="0" showErrorMessage="0" allowBlank="1" type="list">
      <formula1>$F$29:$F$30</formula1>
    </dataValidation>
    <dataValidation sqref="N19" showDropDown="0" showInputMessage="0" showErrorMessage="0" allowBlank="1" type="list">
      <formula1>$J$12:$J$13</formula1>
    </dataValidation>
    <dataValidation sqref="N20" showDropDown="0" showInputMessage="0" showErrorMessage="0" allowBlank="1" type="list">
      <formula1>$J$25:$J$26</formula1>
    </dataValidation>
    <dataValidation sqref="R19" showDropDown="0" showInputMessage="0" showErrorMessage="0" allowBlank="1" type="list">
      <formula1>$N$19:$N$20</formula1>
    </dataValidation>
    <dataValidation sqref="R24" showDropDown="0" showInputMessage="0" showErrorMessage="0" allowBlank="1" type="list">
      <formula1>$N$24:$N$25</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C24"/>
  <sheetViews>
    <sheetView showGridLines="0" workbookViewId="0">
      <selection activeCell="A1" sqref="A1"/>
    </sheetView>
  </sheetViews>
  <sheetFormatPr baseColWidth="8" defaultRowHeight="15"/>
  <cols>
    <col width="11" customWidth="1" min="1" max="1"/>
    <col width="24" customWidth="1" min="2" max="2"/>
    <col width="12" customWidth="1" min="3" max="3"/>
    <col width="8" customWidth="1" min="4" max="4"/>
    <col width="24" customWidth="1" min="5" max="5"/>
    <col width="24" customWidth="1" min="6" max="6"/>
    <col width="16" customWidth="1" min="7" max="7"/>
    <col width="24" customWidth="1" min="8" max="8"/>
    <col width="8" customWidth="1" min="9" max="9"/>
    <col width="3" customWidth="1" min="10" max="10"/>
    <col hidden="1" width="13" customWidth="1" min="11" max="11"/>
    <col hidden="1" width="13" customWidth="1" min="12" max="12"/>
    <col width="3" customWidth="1" min="13" max="13"/>
    <col width="16" customWidth="1" min="14" max="14"/>
    <col width="24" customWidth="1" min="15" max="15"/>
    <col width="2.5" customWidth="1" min="17" max="17"/>
    <col width="2.5" customWidth="1" min="18" max="18"/>
    <col width="16" customWidth="1" min="19" max="19"/>
    <col width="24" customWidth="1" min="20" max="20"/>
    <col width="2.5" customWidth="1" min="22" max="22"/>
    <col width="2.5" customWidth="1" min="23" max="23"/>
    <col width="16" customWidth="1" min="24" max="24"/>
    <col width="24" customWidth="1" min="25" max="25"/>
    <col hidden="1" width="13" customWidth="1" min="27" max="27"/>
    <col hidden="1" width="13" customWidth="1" min="28" max="28"/>
    <col hidden="1" width="13" customWidth="1" min="29" max="29"/>
  </cols>
  <sheetData>
    <row r="1" ht="30" customHeight="1">
      <c r="A1" s="1" t="inlineStr">
        <is>
          <t>Cricket — Pools &amp; Knockout</t>
        </is>
      </c>
    </row>
    <row r="2">
      <c r="A2" s="2" t="inlineStr">
        <is>
          <t>Two pools of 3, round robin inside each pool. Semi-finals: Pool A winner vs Pool B runner-up, Pool B winner vs Pool A runner-up.</t>
        </is>
      </c>
    </row>
    <row r="3">
      <c r="A3" s="62" t="inlineStr">
        <is>
          <t>Pool matches: Tue 27 Oct &amp; Wed 28 Oct   ·   Semi-finals &amp; 3rd place: Wed 04 Nov   ·   Final: Fri 06 Nov.   First match each day 19:00, the rest follow on (final: date only).</t>
        </is>
      </c>
    </row>
    <row r="4">
      <c r="A4" s="63" t="inlineStr">
        <is>
          <t>Points: Win</t>
        </is>
      </c>
      <c r="B4" s="11" t="n">
        <v>2</v>
      </c>
      <c r="C4" s="64" t="inlineStr">
        <is>
          <t>Draw / No result</t>
        </is>
      </c>
      <c r="D4" s="11" t="n">
        <v>1</v>
      </c>
    </row>
    <row r="6">
      <c r="A6" s="65" t="inlineStr">
        <is>
          <t>Pool A</t>
        </is>
      </c>
      <c r="N6" s="34" t="inlineStr">
        <is>
          <t>Semi-finals</t>
        </is>
      </c>
      <c r="S6" s="34" t="inlineStr">
        <is>
          <t>Final</t>
        </is>
      </c>
      <c r="X6" s="34" t="inlineStr">
        <is>
          <t>Champion</t>
        </is>
      </c>
    </row>
    <row r="7">
      <c r="A7" s="3" t="inlineStr">
        <is>
          <t>Team</t>
        </is>
      </c>
      <c r="B7" s="3" t="inlineStr">
        <is>
          <t>Team Name</t>
        </is>
      </c>
      <c r="C7" s="3" t="inlineStr">
        <is>
          <t>Played</t>
        </is>
      </c>
      <c r="D7" s="3" t="inlineStr">
        <is>
          <t>Won</t>
        </is>
      </c>
      <c r="E7" s="3" t="inlineStr">
        <is>
          <t>Drawn</t>
        </is>
      </c>
      <c r="F7" s="3" t="inlineStr">
        <is>
          <t>Lost</t>
        </is>
      </c>
      <c r="G7" s="3" t="inlineStr">
        <is>
          <t>Points</t>
        </is>
      </c>
      <c r="H7" s="3" t="inlineStr">
        <is>
          <t>Tiebreak</t>
        </is>
      </c>
      <c r="I7" s="3" t="inlineStr">
        <is>
          <t>Rank</t>
        </is>
      </c>
    </row>
    <row r="8">
      <c r="A8" s="25" t="inlineStr">
        <is>
          <t>Team 3</t>
        </is>
      </c>
      <c r="B8" s="39" t="inlineStr">
        <is>
          <t>Dr. D</t>
        </is>
      </c>
      <c r="C8" s="12">
        <f>COUNTIFS($E$19:$E$24,$K8,$H$19:$H$24,"&lt;&gt;")+COUNTIFS($F$19:$F$24,$K8,$H$19:$H$24,"&lt;&gt;")</f>
        <v/>
      </c>
      <c r="D8" s="12">
        <f>COUNTIF($H$19:$H$24,$K8)</f>
        <v/>
      </c>
      <c r="E8" s="12">
        <f>COUNTIFS($E$19:$E$24,$K8,$H$19:$H$24,"Draw")+COUNTIFS($F$19:$F$24,$K8,$H$19:$H$24,"Draw")</f>
        <v/>
      </c>
      <c r="F8" s="12">
        <f>C8-D8-E8</f>
        <v/>
      </c>
      <c r="G8" s="25">
        <f>D8*$B$4+E8*$D$4</f>
        <v/>
      </c>
      <c r="H8" s="11" t="n"/>
      <c r="I8" s="25">
        <f>1+COUNTIF($L$8:$L$10,"&gt;"&amp;L8)</f>
        <v/>
      </c>
      <c r="K8">
        <f>IF(B8="",A8,B8)</f>
        <v/>
      </c>
      <c r="L8">
        <f>G8+N(H8)/100</f>
        <v/>
      </c>
      <c r="N8" s="36" t="inlineStr">
        <is>
          <t>C-SF-01   ·   Wed 04 Nov   ·   19:00</t>
        </is>
      </c>
    </row>
    <row r="9">
      <c r="A9" s="25" t="inlineStr">
        <is>
          <t>Team 5</t>
        </is>
      </c>
      <c r="B9" s="39" t="inlineStr">
        <is>
          <t>Dhurandhar</t>
        </is>
      </c>
      <c r="C9" s="12">
        <f>COUNTIFS($E$19:$E$24,$K9,$H$19:$H$24,"&lt;&gt;")+COUNTIFS($F$19:$F$24,$K9,$H$19:$H$24,"&lt;&gt;")</f>
        <v/>
      </c>
      <c r="D9" s="12">
        <f>COUNTIF($H$19:$H$24,$K9)</f>
        <v/>
      </c>
      <c r="E9" s="12">
        <f>COUNTIFS($E$19:$E$24,$K9,$H$19:$H$24,"Draw")+COUNTIFS($F$19:$F$24,$K9,$H$19:$H$24,"Draw")</f>
        <v/>
      </c>
      <c r="F9" s="12">
        <f>C9-D9-E9</f>
        <v/>
      </c>
      <c r="G9" s="25">
        <f>D9*$B$4+E9*$D$4</f>
        <v/>
      </c>
      <c r="H9" s="11" t="n"/>
      <c r="I9" s="25">
        <f>1+COUNTIF($L$8:$L$10,"&gt;"&amp;L9)</f>
        <v/>
      </c>
      <c r="K9">
        <f>IF(B9="",A9,B9)</f>
        <v/>
      </c>
      <c r="L9">
        <f>G9+N(H9)/100</f>
        <v/>
      </c>
      <c r="N9" s="38" t="inlineStr">
        <is>
          <t>Pool A winner</t>
        </is>
      </c>
      <c r="O9" s="30">
        <f>IF(NOT(COUNTIFS($D$19:$D$24,"A",$H$19:$H$24,"&lt;&gt;")=3),"",IF(COUNTIF($I$8:$I$10,1)&lt;&gt;1,"Tie – set tiebreak",INDEX($K$8:$K$10,MATCH(1,$I$8:$I$10,0))))</f>
        <v/>
      </c>
      <c r="Q9" s="50" t="n"/>
    </row>
    <row r="10">
      <c r="A10" s="25" t="inlineStr">
        <is>
          <t>Team 2</t>
        </is>
      </c>
      <c r="B10" s="39" t="inlineStr">
        <is>
          <t>Jeem Boom Baa</t>
        </is>
      </c>
      <c r="C10" s="12">
        <f>COUNTIFS($E$19:$E$24,$K10,$H$19:$H$24,"&lt;&gt;")+COUNTIFS($F$19:$F$24,$K10,$H$19:$H$24,"&lt;&gt;")</f>
        <v/>
      </c>
      <c r="D10" s="12">
        <f>COUNTIF($H$19:$H$24,$K10)</f>
        <v/>
      </c>
      <c r="E10" s="12">
        <f>COUNTIFS($E$19:$E$24,$K10,$H$19:$H$24,"Draw")+COUNTIFS($F$19:$F$24,$K10,$H$19:$H$24,"Draw")</f>
        <v/>
      </c>
      <c r="F10" s="12">
        <f>C10-D10-E10</f>
        <v/>
      </c>
      <c r="G10" s="25">
        <f>D10*$B$4+E10*$D$4</f>
        <v/>
      </c>
      <c r="H10" s="11" t="n"/>
      <c r="I10" s="25">
        <f>1+COUNTIF($L$8:$L$10,"&gt;"&amp;L10)</f>
        <v/>
      </c>
      <c r="K10">
        <f>IF(B10="",A10,B10)</f>
        <v/>
      </c>
      <c r="L10">
        <f>G10+N(H10)/100</f>
        <v/>
      </c>
      <c r="N10" s="41" t="inlineStr">
        <is>
          <t>Pool B runner-up</t>
        </is>
      </c>
      <c r="O10" s="60">
        <f>IF(NOT(COUNTIFS($D$19:$D$24,"B",$H$19:$H$24,"&lt;&gt;")=3),"",IF(COUNTIF($I$13:$I$15,2)&lt;&gt;1,"Tie – set tiebreak",INDEX($K$13:$K$15,MATCH(2,$I$13:$I$15,0))))</f>
        <v/>
      </c>
      <c r="Q10" s="43" t="n"/>
      <c r="S10" s="36" t="inlineStr">
        <is>
          <t>C-F-01   ·   Fri 06 Nov</t>
        </is>
      </c>
      <c r="X10" s="49" t="inlineStr">
        <is>
          <t>🏆 CHAMPION</t>
        </is>
      </c>
    </row>
    <row r="11">
      <c r="A11" s="65" t="inlineStr">
        <is>
          <t>Pool B</t>
        </is>
      </c>
      <c r="R11" s="66" t="n"/>
      <c r="S11" s="38" t="inlineStr">
        <is>
          <t>W C-SF-01</t>
        </is>
      </c>
      <c r="T11" s="47" t="n"/>
      <c r="V11" s="50" t="n"/>
      <c r="W11" s="50" t="n"/>
      <c r="X11" s="51" t="inlineStr">
        <is>
          <t>W C-F-01</t>
        </is>
      </c>
      <c r="Y11" s="52" t="n"/>
    </row>
    <row r="12">
      <c r="A12" s="3" t="inlineStr">
        <is>
          <t>Team</t>
        </is>
      </c>
      <c r="B12" s="3" t="inlineStr">
        <is>
          <t>Team Name</t>
        </is>
      </c>
      <c r="C12" s="3" t="inlineStr">
        <is>
          <t>Played</t>
        </is>
      </c>
      <c r="D12" s="3" t="inlineStr">
        <is>
          <t>Won</t>
        </is>
      </c>
      <c r="E12" s="3" t="inlineStr">
        <is>
          <t>Drawn</t>
        </is>
      </c>
      <c r="F12" s="3" t="inlineStr">
        <is>
          <t>Lost</t>
        </is>
      </c>
      <c r="G12" s="3" t="inlineStr">
        <is>
          <t>Points</t>
        </is>
      </c>
      <c r="H12" s="3" t="inlineStr">
        <is>
          <t>Tiebreak</t>
        </is>
      </c>
      <c r="I12" s="3" t="inlineStr">
        <is>
          <t>Rank</t>
        </is>
      </c>
      <c r="Q12" s="43" t="n"/>
      <c r="R12" s="66" t="n"/>
      <c r="S12" s="41" t="inlineStr">
        <is>
          <t>W C-SF-02</t>
        </is>
      </c>
      <c r="T12" s="46" t="n"/>
      <c r="X12" s="53" t="inlineStr">
        <is>
          <t>🥈 RUNNER-UP</t>
        </is>
      </c>
    </row>
    <row r="13">
      <c r="A13" s="25" t="inlineStr">
        <is>
          <t>Team 1</t>
        </is>
      </c>
      <c r="B13" s="39" t="inlineStr">
        <is>
          <t>Rajarajeshwari United</t>
        </is>
      </c>
      <c r="C13" s="12">
        <f>COUNTIFS($E$19:$E$24,$K13,$H$19:$H$24,"&lt;&gt;")+COUNTIFS($F$19:$F$24,$K13,$H$19:$H$24,"&lt;&gt;")</f>
        <v/>
      </c>
      <c r="D13" s="12">
        <f>COUNTIF($H$19:$H$24,$K13)</f>
        <v/>
      </c>
      <c r="E13" s="12">
        <f>COUNTIFS($E$19:$E$24,$K13,$H$19:$H$24,"Draw")+COUNTIFS($F$19:$F$24,$K13,$H$19:$H$24,"Draw")</f>
        <v/>
      </c>
      <c r="F13" s="12">
        <f>C13-D13-E13</f>
        <v/>
      </c>
      <c r="G13" s="25">
        <f>D13*$B$4+E13*$D$4</f>
        <v/>
      </c>
      <c r="H13" s="11" t="n"/>
      <c r="I13" s="25">
        <f>1+COUNTIF($L$13:$L$15,"&gt;"&amp;L13)</f>
        <v/>
      </c>
      <c r="K13">
        <f>IF(B13="",A13,B13)</f>
        <v/>
      </c>
      <c r="L13">
        <f>G13+N(H13)/100</f>
        <v/>
      </c>
      <c r="N13" s="36" t="inlineStr">
        <is>
          <t>C-SF-02   ·   Wed 04 Nov   ·   follows</t>
        </is>
      </c>
      <c r="Q13" s="43" t="n"/>
      <c r="X13" s="54" t="inlineStr">
        <is>
          <t>L final</t>
        </is>
      </c>
      <c r="Y13" s="55">
        <f>IF(Y11="","",IF(Y11=T11,T12&amp;"",IF(Y11=T12,T11&amp;"","")))</f>
        <v/>
      </c>
    </row>
    <row r="14">
      <c r="A14" s="25" t="inlineStr">
        <is>
          <t>Team 4</t>
        </is>
      </c>
      <c r="B14" s="39" t="inlineStr">
        <is>
          <t>Thoofan</t>
        </is>
      </c>
      <c r="C14" s="12">
        <f>COUNTIFS($E$19:$E$24,$K14,$H$19:$H$24,"&lt;&gt;")+COUNTIFS($F$19:$F$24,$K14,$H$19:$H$24,"&lt;&gt;")</f>
        <v/>
      </c>
      <c r="D14" s="12">
        <f>COUNTIF($H$19:$H$24,$K14)</f>
        <v/>
      </c>
      <c r="E14" s="12">
        <f>COUNTIFS($E$19:$E$24,$K14,$H$19:$H$24,"Draw")+COUNTIFS($F$19:$F$24,$K14,$H$19:$H$24,"Draw")</f>
        <v/>
      </c>
      <c r="F14" s="12">
        <f>C14-D14-E14</f>
        <v/>
      </c>
      <c r="G14" s="25">
        <f>D14*$B$4+E14*$D$4</f>
        <v/>
      </c>
      <c r="H14" s="11" t="n"/>
      <c r="I14" s="25">
        <f>1+COUNTIF($L$13:$L$15,"&gt;"&amp;L14)</f>
        <v/>
      </c>
      <c r="K14">
        <f>IF(B14="",A14,B14)</f>
        <v/>
      </c>
      <c r="L14">
        <f>G14+N(H14)/100</f>
        <v/>
      </c>
      <c r="N14" s="38" t="inlineStr">
        <is>
          <t>Pool B winner</t>
        </is>
      </c>
      <c r="O14" s="30">
        <f>IF(NOT(COUNTIFS($D$19:$D$24,"B",$H$19:$H$24,"&lt;&gt;")=3),"",IF(COUNTIF($I$13:$I$15,1)&lt;&gt;1,"Tie – set tiebreak",INDEX($K$13:$K$15,MATCH(1,$I$13:$I$15,0))))</f>
        <v/>
      </c>
      <c r="Q14" s="48" t="n"/>
    </row>
    <row r="15">
      <c r="A15" s="25" t="inlineStr">
        <is>
          <t>Team 6</t>
        </is>
      </c>
      <c r="B15" s="39" t="inlineStr">
        <is>
          <t>Aaram Thamburan</t>
        </is>
      </c>
      <c r="C15" s="12">
        <f>COUNTIFS($E$19:$E$24,$K15,$H$19:$H$24,"&lt;&gt;")+COUNTIFS($F$19:$F$24,$K15,$H$19:$H$24,"&lt;&gt;")</f>
        <v/>
      </c>
      <c r="D15" s="12">
        <f>COUNTIF($H$19:$H$24,$K15)</f>
        <v/>
      </c>
      <c r="E15" s="12">
        <f>COUNTIFS($E$19:$E$24,$K15,$H$19:$H$24,"Draw")+COUNTIFS($F$19:$F$24,$K15,$H$19:$H$24,"Draw")</f>
        <v/>
      </c>
      <c r="F15" s="12">
        <f>C15-D15-E15</f>
        <v/>
      </c>
      <c r="G15" s="25">
        <f>D15*$B$4+E15*$D$4</f>
        <v/>
      </c>
      <c r="H15" s="11" t="n"/>
      <c r="I15" s="25">
        <f>1+COUNTIF($L$13:$L$15,"&gt;"&amp;L15)</f>
        <v/>
      </c>
      <c r="K15">
        <f>IF(B15="",A15,B15)</f>
        <v/>
      </c>
      <c r="L15">
        <f>G15+N(H15)/100</f>
        <v/>
      </c>
      <c r="N15" s="41" t="inlineStr">
        <is>
          <t>Pool A runner-up</t>
        </is>
      </c>
      <c r="O15" s="60">
        <f>IF(NOT(COUNTIFS($D$19:$D$24,"A",$H$19:$H$24,"&lt;&gt;")=3),"",IF(COUNTIF($I$8:$I$10,2)&lt;&gt;1,"Tie – set tiebreak",INDEX($K$8:$K$10,MATCH(2,$I$8:$I$10,0))))</f>
        <v/>
      </c>
    </row>
    <row r="16">
      <c r="A16" s="8" t="inlineStr">
        <is>
          <t>Tiebreak: teams level on points are ordered by the Tiebreak column (higher = ranked above), based on goal difference / net run rate / head-to-head.</t>
        </is>
      </c>
      <c r="S16" s="56" t="inlineStr">
        <is>
          <t>C-3P-01   ·   3rd Place   ·   Wed 04 Nov   ·   follows</t>
        </is>
      </c>
      <c r="T16" s="37" t="n"/>
      <c r="X16" s="57" t="inlineStr">
        <is>
          <t>🥉 3RD PLACE</t>
        </is>
      </c>
    </row>
    <row r="17">
      <c r="A17" s="8" t="inlineStr">
        <is>
          <t>Pools from the draw: Pool A = Teams 3, 5, 2; Pool B = Teams 1, 4, 6. Both pools play on each pool day, ordered so that no team plays back-to-back.</t>
        </is>
      </c>
      <c r="S17" s="38" t="inlineStr">
        <is>
          <t>L C-SF-01</t>
        </is>
      </c>
      <c r="T17" s="30">
        <f>IF(T11="","",IF(T11=O9,O10&amp;"",IF(T11=O10,O9&amp;"","")))</f>
        <v/>
      </c>
      <c r="U17" s="50" t="n"/>
      <c r="V17" s="50" t="n"/>
      <c r="W17" s="50" t="n"/>
      <c r="X17" s="58">
        <f>IF(Y17="","W C-3P-01",IF(Y17=T17,S17&amp;"",IF(Y17=T18,S18&amp;"","W C-3P-01")))</f>
        <v/>
      </c>
      <c r="Y17" s="59" t="n"/>
    </row>
    <row r="18">
      <c r="A18" s="3" t="inlineStr">
        <is>
          <t>Match ID</t>
        </is>
      </c>
      <c r="B18" s="3" t="inlineStr">
        <is>
          <t>Day</t>
        </is>
      </c>
      <c r="C18" s="3" t="inlineStr">
        <is>
          <t>Time</t>
        </is>
      </c>
      <c r="D18" s="3" t="inlineStr">
        <is>
          <t>Pool</t>
        </is>
      </c>
      <c r="E18" s="3" t="inlineStr">
        <is>
          <t>Team 1</t>
        </is>
      </c>
      <c r="F18" s="3" t="inlineStr">
        <is>
          <t>Team 2</t>
        </is>
      </c>
      <c r="G18" s="3" t="inlineStr">
        <is>
          <t>Score / Result</t>
        </is>
      </c>
      <c r="H18" s="3" t="inlineStr">
        <is>
          <t>Winner</t>
        </is>
      </c>
      <c r="S18" s="41" t="inlineStr">
        <is>
          <t>L C-SF-02</t>
        </is>
      </c>
      <c r="T18" s="60">
        <f>IF(T12="","",IF(T12=O14,O15&amp;"",IF(T12=O15,O14&amp;"","")))</f>
        <v/>
      </c>
    </row>
    <row r="19">
      <c r="A19" s="67" t="inlineStr">
        <is>
          <t>C-GB-01</t>
        </is>
      </c>
      <c r="B19" s="6" t="inlineStr">
        <is>
          <t>Tue 27 Oct</t>
        </is>
      </c>
      <c r="C19" s="6" t="inlineStr">
        <is>
          <t>19:00</t>
        </is>
      </c>
      <c r="D19" s="6" t="inlineStr">
        <is>
          <t>B</t>
        </is>
      </c>
      <c r="E19" s="30">
        <f>$K$13</f>
        <v/>
      </c>
      <c r="F19" s="30">
        <f>$K$14</f>
        <v/>
      </c>
      <c r="G19" s="11" t="n"/>
      <c r="H19" s="47" t="n"/>
      <c r="AA19">
        <f>E19</f>
        <v/>
      </c>
      <c r="AB19">
        <f>F19</f>
        <v/>
      </c>
      <c r="AC19" t="inlineStr">
        <is>
          <t>Draw</t>
        </is>
      </c>
    </row>
    <row r="20">
      <c r="A20" s="67" t="inlineStr">
        <is>
          <t>C-GA-01</t>
        </is>
      </c>
      <c r="B20" s="6" t="inlineStr">
        <is>
          <t>Tue 27 Oct</t>
        </is>
      </c>
      <c r="C20" s="6" t="inlineStr">
        <is>
          <t>follows</t>
        </is>
      </c>
      <c r="D20" s="6" t="inlineStr">
        <is>
          <t>A</t>
        </is>
      </c>
      <c r="E20" s="30">
        <f>$K$8</f>
        <v/>
      </c>
      <c r="F20" s="30">
        <f>$K$9</f>
        <v/>
      </c>
      <c r="G20" s="11" t="n"/>
      <c r="H20" s="47" t="n"/>
      <c r="AA20">
        <f>E20</f>
        <v/>
      </c>
      <c r="AB20">
        <f>F20</f>
        <v/>
      </c>
      <c r="AC20" t="inlineStr">
        <is>
          <t>Draw</t>
        </is>
      </c>
    </row>
    <row r="21">
      <c r="A21" s="67" t="inlineStr">
        <is>
          <t>C-GB-03</t>
        </is>
      </c>
      <c r="B21" s="6" t="inlineStr">
        <is>
          <t>Tue 27 Oct</t>
        </is>
      </c>
      <c r="C21" s="6" t="inlineStr">
        <is>
          <t>follows</t>
        </is>
      </c>
      <c r="D21" s="6" t="inlineStr">
        <is>
          <t>B</t>
        </is>
      </c>
      <c r="E21" s="30">
        <f>$K$14</f>
        <v/>
      </c>
      <c r="F21" s="30">
        <f>$K$15</f>
        <v/>
      </c>
      <c r="G21" s="11" t="n"/>
      <c r="H21" s="47" t="n"/>
      <c r="AA21">
        <f>E21</f>
        <v/>
      </c>
      <c r="AB21">
        <f>F21</f>
        <v/>
      </c>
      <c r="AC21" t="inlineStr">
        <is>
          <t>Draw</t>
        </is>
      </c>
    </row>
    <row r="22">
      <c r="A22" s="67" t="inlineStr">
        <is>
          <t>C-GA-02</t>
        </is>
      </c>
      <c r="B22" s="6" t="inlineStr">
        <is>
          <t>Wed 28 Oct</t>
        </is>
      </c>
      <c r="C22" s="6" t="inlineStr">
        <is>
          <t>19:00</t>
        </is>
      </c>
      <c r="D22" s="6" t="inlineStr">
        <is>
          <t>A</t>
        </is>
      </c>
      <c r="E22" s="30">
        <f>$K$10</f>
        <v/>
      </c>
      <c r="F22" s="30">
        <f>$K$8</f>
        <v/>
      </c>
      <c r="G22" s="11" t="n"/>
      <c r="H22" s="47" t="n"/>
      <c r="AA22">
        <f>E22</f>
        <v/>
      </c>
      <c r="AB22">
        <f>F22</f>
        <v/>
      </c>
      <c r="AC22" t="inlineStr">
        <is>
          <t>Draw</t>
        </is>
      </c>
    </row>
    <row r="23">
      <c r="A23" s="67" t="inlineStr">
        <is>
          <t>C-GB-02</t>
        </is>
      </c>
      <c r="B23" s="6" t="inlineStr">
        <is>
          <t>Wed 28 Oct</t>
        </is>
      </c>
      <c r="C23" s="6" t="inlineStr">
        <is>
          <t>follows</t>
        </is>
      </c>
      <c r="D23" s="6" t="inlineStr">
        <is>
          <t>B</t>
        </is>
      </c>
      <c r="E23" s="30">
        <f>$K$15</f>
        <v/>
      </c>
      <c r="F23" s="30">
        <f>$K$13</f>
        <v/>
      </c>
      <c r="G23" s="11" t="n"/>
      <c r="H23" s="47" t="n"/>
      <c r="AA23">
        <f>E23</f>
        <v/>
      </c>
      <c r="AB23">
        <f>F23</f>
        <v/>
      </c>
      <c r="AC23" t="inlineStr">
        <is>
          <t>Draw</t>
        </is>
      </c>
    </row>
    <row r="24">
      <c r="A24" s="67" t="inlineStr">
        <is>
          <t>C-GA-03</t>
        </is>
      </c>
      <c r="B24" s="6" t="inlineStr">
        <is>
          <t>Wed 28 Oct</t>
        </is>
      </c>
      <c r="C24" s="6" t="inlineStr">
        <is>
          <t>follows</t>
        </is>
      </c>
      <c r="D24" s="6" t="inlineStr">
        <is>
          <t>A</t>
        </is>
      </c>
      <c r="E24" s="30">
        <f>$K$9</f>
        <v/>
      </c>
      <c r="F24" s="30">
        <f>$K$10</f>
        <v/>
      </c>
      <c r="G24" s="11" t="n"/>
      <c r="H24" s="47" t="n"/>
      <c r="AA24">
        <f>E24</f>
        <v/>
      </c>
      <c r="AB24">
        <f>F24</f>
        <v/>
      </c>
      <c r="AC24" t="inlineStr">
        <is>
          <t>Draw</t>
        </is>
      </c>
    </row>
  </sheetData>
  <mergeCells count="14">
    <mergeCell ref="A2:V2"/>
    <mergeCell ref="X12:Y12"/>
    <mergeCell ref="S16:T16"/>
    <mergeCell ref="A11:I11"/>
    <mergeCell ref="X6:Y6"/>
    <mergeCell ref="S10:T10"/>
    <mergeCell ref="X10:Y10"/>
    <mergeCell ref="X16:Y16"/>
    <mergeCell ref="A1:V1"/>
    <mergeCell ref="N6:O6"/>
    <mergeCell ref="S6:T6"/>
    <mergeCell ref="A6:I6"/>
    <mergeCell ref="N13:O13"/>
    <mergeCell ref="N8:O8"/>
  </mergeCells>
  <dataValidations count="10">
    <dataValidation sqref="H19" showDropDown="0" showInputMessage="0" showErrorMessage="0" allowBlank="1" type="list">
      <formula1>$AA$19:$AC$19</formula1>
    </dataValidation>
    <dataValidation sqref="H20" showDropDown="0" showInputMessage="0" showErrorMessage="0" allowBlank="1" type="list">
      <formula1>$AA$20:$AC$20</formula1>
    </dataValidation>
    <dataValidation sqref="H21" showDropDown="0" showInputMessage="0" showErrorMessage="0" allowBlank="1" type="list">
      <formula1>$AA$21:$AC$21</formula1>
    </dataValidation>
    <dataValidation sqref="H22" showDropDown="0" showInputMessage="0" showErrorMessage="0" allowBlank="1" type="list">
      <formula1>$AA$22:$AC$22</formula1>
    </dataValidation>
    <dataValidation sqref="H23" showDropDown="0" showInputMessage="0" showErrorMessage="0" allowBlank="1" type="list">
      <formula1>$AA$23:$AC$23</formula1>
    </dataValidation>
    <dataValidation sqref="H24" showDropDown="0" showInputMessage="0" showErrorMessage="0" allowBlank="1" type="list">
      <formula1>$AA$24:$AC$24</formula1>
    </dataValidation>
    <dataValidation sqref="T11" showDropDown="0" showInputMessage="0" showErrorMessage="0" allowBlank="1" type="list">
      <formula1>$O$9:$O$10</formula1>
    </dataValidation>
    <dataValidation sqref="T12" showDropDown="0" showInputMessage="0" showErrorMessage="0" allowBlank="1" type="list">
      <formula1>$O$14:$O$15</formula1>
    </dataValidation>
    <dataValidation sqref="Y11" showDropDown="0" showInputMessage="0" showErrorMessage="0" allowBlank="1" type="list">
      <formula1>$T$11:$T$12</formula1>
    </dataValidation>
    <dataValidation sqref="Y17" showDropDown="0" showInputMessage="0" showErrorMessage="0" allowBlank="1" type="list">
      <formula1>$T$17:$T$18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C24"/>
  <sheetViews>
    <sheetView showGridLines="0" workbookViewId="0">
      <selection activeCell="A1" sqref="A1"/>
    </sheetView>
  </sheetViews>
  <sheetFormatPr baseColWidth="8" defaultRowHeight="15"/>
  <cols>
    <col width="11" customWidth="1" min="1" max="1"/>
    <col width="24" customWidth="1" min="2" max="2"/>
    <col width="12" customWidth="1" min="3" max="3"/>
    <col width="8" customWidth="1" min="4" max="4"/>
    <col width="24" customWidth="1" min="5" max="5"/>
    <col width="24" customWidth="1" min="6" max="6"/>
    <col width="16" customWidth="1" min="7" max="7"/>
    <col width="24" customWidth="1" min="8" max="8"/>
    <col width="8" customWidth="1" min="9" max="9"/>
    <col width="3" customWidth="1" min="10" max="10"/>
    <col hidden="1" width="13" customWidth="1" min="11" max="11"/>
    <col hidden="1" width="13" customWidth="1" min="12" max="12"/>
    <col width="3" customWidth="1" min="13" max="13"/>
    <col width="16" customWidth="1" min="14" max="14"/>
    <col width="24" customWidth="1" min="15" max="15"/>
    <col width="2.5" customWidth="1" min="17" max="17"/>
    <col width="2.5" customWidth="1" min="18" max="18"/>
    <col width="16" customWidth="1" min="19" max="19"/>
    <col width="24" customWidth="1" min="20" max="20"/>
    <col width="2.5" customWidth="1" min="22" max="22"/>
    <col width="2.5" customWidth="1" min="23" max="23"/>
    <col width="16" customWidth="1" min="24" max="24"/>
    <col width="24" customWidth="1" min="25" max="25"/>
    <col hidden="1" width="13" customWidth="1" min="27" max="27"/>
    <col hidden="1" width="13" customWidth="1" min="28" max="28"/>
    <col hidden="1" width="13" customWidth="1" min="29" max="29"/>
  </cols>
  <sheetData>
    <row r="1" ht="30" customHeight="1">
      <c r="A1" s="1" t="inlineStr">
        <is>
          <t>Football — Pools &amp; Knockout</t>
        </is>
      </c>
    </row>
    <row r="2">
      <c r="A2" s="2" t="inlineStr">
        <is>
          <t>Two pools of 3, round robin inside each pool. Semi-finals: Pool A winner vs Pool B runner-up, Pool B winner vs Pool A runner-up.</t>
        </is>
      </c>
    </row>
    <row r="3">
      <c r="A3" s="62" t="inlineStr">
        <is>
          <t>Pool matches: Thu 29 Oct &amp; Fri 30 Oct   ·   Semi-finals &amp; 3rd place: Thu 05 Nov   ·   Final: Fri 06 Nov.   First match each day 19:00, the rest follow on (final: date only).</t>
        </is>
      </c>
    </row>
    <row r="4">
      <c r="A4" s="63" t="inlineStr">
        <is>
          <t>Points: Win</t>
        </is>
      </c>
      <c r="B4" s="11" t="n">
        <v>3</v>
      </c>
      <c r="C4" s="64" t="inlineStr">
        <is>
          <t>Draw / No result</t>
        </is>
      </c>
      <c r="D4" s="11" t="n">
        <v>1</v>
      </c>
    </row>
    <row r="6">
      <c r="A6" s="65" t="inlineStr">
        <is>
          <t>Pool A</t>
        </is>
      </c>
      <c r="N6" s="34" t="inlineStr">
        <is>
          <t>Semi-finals</t>
        </is>
      </c>
      <c r="S6" s="34" t="inlineStr">
        <is>
          <t>Final</t>
        </is>
      </c>
      <c r="X6" s="34" t="inlineStr">
        <is>
          <t>Champion</t>
        </is>
      </c>
    </row>
    <row r="7">
      <c r="A7" s="3" t="inlineStr">
        <is>
          <t>Team</t>
        </is>
      </c>
      <c r="B7" s="3" t="inlineStr">
        <is>
          <t>Team Name</t>
        </is>
      </c>
      <c r="C7" s="3" t="inlineStr">
        <is>
          <t>Played</t>
        </is>
      </c>
      <c r="D7" s="3" t="inlineStr">
        <is>
          <t>Won</t>
        </is>
      </c>
      <c r="E7" s="3" t="inlineStr">
        <is>
          <t>Drawn</t>
        </is>
      </c>
      <c r="F7" s="3" t="inlineStr">
        <is>
          <t>Lost</t>
        </is>
      </c>
      <c r="G7" s="3" t="inlineStr">
        <is>
          <t>Points</t>
        </is>
      </c>
      <c r="H7" s="3" t="inlineStr">
        <is>
          <t>Tiebreak</t>
        </is>
      </c>
      <c r="I7" s="3" t="inlineStr">
        <is>
          <t>Rank</t>
        </is>
      </c>
    </row>
    <row r="8">
      <c r="A8" s="25" t="inlineStr">
        <is>
          <t>Team 3</t>
        </is>
      </c>
      <c r="B8" s="39" t="inlineStr">
        <is>
          <t>Dr. D</t>
        </is>
      </c>
      <c r="C8" s="12">
        <f>COUNTIFS($E$19:$E$24,$K8,$H$19:$H$24,"&lt;&gt;")+COUNTIFS($F$19:$F$24,$K8,$H$19:$H$24,"&lt;&gt;")</f>
        <v/>
      </c>
      <c r="D8" s="12">
        <f>COUNTIF($H$19:$H$24,$K8)</f>
        <v/>
      </c>
      <c r="E8" s="12">
        <f>COUNTIFS($E$19:$E$24,$K8,$H$19:$H$24,"Draw")+COUNTIFS($F$19:$F$24,$K8,$H$19:$H$24,"Draw")</f>
        <v/>
      </c>
      <c r="F8" s="12">
        <f>C8-D8-E8</f>
        <v/>
      </c>
      <c r="G8" s="25">
        <f>D8*$B$4+E8*$D$4</f>
        <v/>
      </c>
      <c r="H8" s="11" t="n"/>
      <c r="I8" s="25">
        <f>1+COUNTIF($L$8:$L$10,"&gt;"&amp;L8)</f>
        <v/>
      </c>
      <c r="K8">
        <f>IF(B8="",A8,B8)</f>
        <v/>
      </c>
      <c r="L8">
        <f>G8+N(H8)/100</f>
        <v/>
      </c>
      <c r="N8" s="36" t="inlineStr">
        <is>
          <t>F-SF-01   ·   Thu 05 Nov   ·   19:00</t>
        </is>
      </c>
    </row>
    <row r="9">
      <c r="A9" s="25" t="inlineStr">
        <is>
          <t>Team 5</t>
        </is>
      </c>
      <c r="B9" s="39" t="inlineStr">
        <is>
          <t>Dhurandhar</t>
        </is>
      </c>
      <c r="C9" s="12">
        <f>COUNTIFS($E$19:$E$24,$K9,$H$19:$H$24,"&lt;&gt;")+COUNTIFS($F$19:$F$24,$K9,$H$19:$H$24,"&lt;&gt;")</f>
        <v/>
      </c>
      <c r="D9" s="12">
        <f>COUNTIF($H$19:$H$24,$K9)</f>
        <v/>
      </c>
      <c r="E9" s="12">
        <f>COUNTIFS($E$19:$E$24,$K9,$H$19:$H$24,"Draw")+COUNTIFS($F$19:$F$24,$K9,$H$19:$H$24,"Draw")</f>
        <v/>
      </c>
      <c r="F9" s="12">
        <f>C9-D9-E9</f>
        <v/>
      </c>
      <c r="G9" s="25">
        <f>D9*$B$4+E9*$D$4</f>
        <v/>
      </c>
      <c r="H9" s="11" t="n"/>
      <c r="I9" s="25">
        <f>1+COUNTIF($L$8:$L$10,"&gt;"&amp;L9)</f>
        <v/>
      </c>
      <c r="K9">
        <f>IF(B9="",A9,B9)</f>
        <v/>
      </c>
      <c r="L9">
        <f>G9+N(H9)/100</f>
        <v/>
      </c>
      <c r="N9" s="38" t="inlineStr">
        <is>
          <t>Pool A winner</t>
        </is>
      </c>
      <c r="O9" s="30">
        <f>IF(NOT(COUNTIFS($D$19:$D$24,"A",$H$19:$H$24,"&lt;&gt;")=3),"",IF(COUNTIF($I$8:$I$10,1)&lt;&gt;1,"Tie – set tiebreak",INDEX($K$8:$K$10,MATCH(1,$I$8:$I$10,0))))</f>
        <v/>
      </c>
      <c r="Q9" s="50" t="n"/>
    </row>
    <row r="10">
      <c r="A10" s="25" t="inlineStr">
        <is>
          <t>Team 2</t>
        </is>
      </c>
      <c r="B10" s="39" t="inlineStr">
        <is>
          <t>Jeem Boom Baa</t>
        </is>
      </c>
      <c r="C10" s="12">
        <f>COUNTIFS($E$19:$E$24,$K10,$H$19:$H$24,"&lt;&gt;")+COUNTIFS($F$19:$F$24,$K10,$H$19:$H$24,"&lt;&gt;")</f>
        <v/>
      </c>
      <c r="D10" s="12">
        <f>COUNTIF($H$19:$H$24,$K10)</f>
        <v/>
      </c>
      <c r="E10" s="12">
        <f>COUNTIFS($E$19:$E$24,$K10,$H$19:$H$24,"Draw")+COUNTIFS($F$19:$F$24,$K10,$H$19:$H$24,"Draw")</f>
        <v/>
      </c>
      <c r="F10" s="12">
        <f>C10-D10-E10</f>
        <v/>
      </c>
      <c r="G10" s="25">
        <f>D10*$B$4+E10*$D$4</f>
        <v/>
      </c>
      <c r="H10" s="11" t="n"/>
      <c r="I10" s="25">
        <f>1+COUNTIF($L$8:$L$10,"&gt;"&amp;L10)</f>
        <v/>
      </c>
      <c r="K10">
        <f>IF(B10="",A10,B10)</f>
        <v/>
      </c>
      <c r="L10">
        <f>G10+N(H10)/100</f>
        <v/>
      </c>
      <c r="N10" s="41" t="inlineStr">
        <is>
          <t>Pool B runner-up</t>
        </is>
      </c>
      <c r="O10" s="60">
        <f>IF(NOT(COUNTIFS($D$19:$D$24,"B",$H$19:$H$24,"&lt;&gt;")=3),"",IF(COUNTIF($I$13:$I$15,2)&lt;&gt;1,"Tie – set tiebreak",INDEX($K$13:$K$15,MATCH(2,$I$13:$I$15,0))))</f>
        <v/>
      </c>
      <c r="Q10" s="43" t="n"/>
      <c r="S10" s="36" t="inlineStr">
        <is>
          <t>F-F-01   ·   Fri 06 Nov</t>
        </is>
      </c>
      <c r="X10" s="49" t="inlineStr">
        <is>
          <t>🏆 CHAMPION</t>
        </is>
      </c>
    </row>
    <row r="11">
      <c r="A11" s="65" t="inlineStr">
        <is>
          <t>Pool B</t>
        </is>
      </c>
      <c r="R11" s="66" t="n"/>
      <c r="S11" s="38" t="inlineStr">
        <is>
          <t>W F-SF-01</t>
        </is>
      </c>
      <c r="T11" s="47" t="n"/>
      <c r="V11" s="50" t="n"/>
      <c r="W11" s="50" t="n"/>
      <c r="X11" s="51" t="inlineStr">
        <is>
          <t>W F-F-01</t>
        </is>
      </c>
      <c r="Y11" s="52" t="n"/>
    </row>
    <row r="12">
      <c r="A12" s="3" t="inlineStr">
        <is>
          <t>Team</t>
        </is>
      </c>
      <c r="B12" s="3" t="inlineStr">
        <is>
          <t>Team Name</t>
        </is>
      </c>
      <c r="C12" s="3" t="inlineStr">
        <is>
          <t>Played</t>
        </is>
      </c>
      <c r="D12" s="3" t="inlineStr">
        <is>
          <t>Won</t>
        </is>
      </c>
      <c r="E12" s="3" t="inlineStr">
        <is>
          <t>Drawn</t>
        </is>
      </c>
      <c r="F12" s="3" t="inlineStr">
        <is>
          <t>Lost</t>
        </is>
      </c>
      <c r="G12" s="3" t="inlineStr">
        <is>
          <t>Points</t>
        </is>
      </c>
      <c r="H12" s="3" t="inlineStr">
        <is>
          <t>Tiebreak</t>
        </is>
      </c>
      <c r="I12" s="3" t="inlineStr">
        <is>
          <t>Rank</t>
        </is>
      </c>
      <c r="Q12" s="43" t="n"/>
      <c r="R12" s="66" t="n"/>
      <c r="S12" s="41" t="inlineStr">
        <is>
          <t>W F-SF-02</t>
        </is>
      </c>
      <c r="T12" s="46" t="n"/>
      <c r="X12" s="53" t="inlineStr">
        <is>
          <t>🥈 RUNNER-UP</t>
        </is>
      </c>
    </row>
    <row r="13">
      <c r="A13" s="25" t="inlineStr">
        <is>
          <t>Team 1</t>
        </is>
      </c>
      <c r="B13" s="39" t="inlineStr">
        <is>
          <t>Rajarajeshwari United</t>
        </is>
      </c>
      <c r="C13" s="12">
        <f>COUNTIFS($E$19:$E$24,$K13,$H$19:$H$24,"&lt;&gt;")+COUNTIFS($F$19:$F$24,$K13,$H$19:$H$24,"&lt;&gt;")</f>
        <v/>
      </c>
      <c r="D13" s="12">
        <f>COUNTIF($H$19:$H$24,$K13)</f>
        <v/>
      </c>
      <c r="E13" s="12">
        <f>COUNTIFS($E$19:$E$24,$K13,$H$19:$H$24,"Draw")+COUNTIFS($F$19:$F$24,$K13,$H$19:$H$24,"Draw")</f>
        <v/>
      </c>
      <c r="F13" s="12">
        <f>C13-D13-E13</f>
        <v/>
      </c>
      <c r="G13" s="25">
        <f>D13*$B$4+E13*$D$4</f>
        <v/>
      </c>
      <c r="H13" s="11" t="n"/>
      <c r="I13" s="25">
        <f>1+COUNTIF($L$13:$L$15,"&gt;"&amp;L13)</f>
        <v/>
      </c>
      <c r="K13">
        <f>IF(B13="",A13,B13)</f>
        <v/>
      </c>
      <c r="L13">
        <f>G13+N(H13)/100</f>
        <v/>
      </c>
      <c r="N13" s="36" t="inlineStr">
        <is>
          <t>F-SF-02   ·   Thu 05 Nov   ·   follows</t>
        </is>
      </c>
      <c r="Q13" s="43" t="n"/>
      <c r="X13" s="54" t="inlineStr">
        <is>
          <t>L final</t>
        </is>
      </c>
      <c r="Y13" s="55">
        <f>IF(Y11="","",IF(Y11=T11,T12&amp;"",IF(Y11=T12,T11&amp;"","")))</f>
        <v/>
      </c>
    </row>
    <row r="14">
      <c r="A14" s="25" t="inlineStr">
        <is>
          <t>Team 4</t>
        </is>
      </c>
      <c r="B14" s="39" t="inlineStr">
        <is>
          <t>Thoofan</t>
        </is>
      </c>
      <c r="C14" s="12">
        <f>COUNTIFS($E$19:$E$24,$K14,$H$19:$H$24,"&lt;&gt;")+COUNTIFS($F$19:$F$24,$K14,$H$19:$H$24,"&lt;&gt;")</f>
        <v/>
      </c>
      <c r="D14" s="12">
        <f>COUNTIF($H$19:$H$24,$K14)</f>
        <v/>
      </c>
      <c r="E14" s="12">
        <f>COUNTIFS($E$19:$E$24,$K14,$H$19:$H$24,"Draw")+COUNTIFS($F$19:$F$24,$K14,$H$19:$H$24,"Draw")</f>
        <v/>
      </c>
      <c r="F14" s="12">
        <f>C14-D14-E14</f>
        <v/>
      </c>
      <c r="G14" s="25">
        <f>D14*$B$4+E14*$D$4</f>
        <v/>
      </c>
      <c r="H14" s="11" t="n"/>
      <c r="I14" s="25">
        <f>1+COUNTIF($L$13:$L$15,"&gt;"&amp;L14)</f>
        <v/>
      </c>
      <c r="K14">
        <f>IF(B14="",A14,B14)</f>
        <v/>
      </c>
      <c r="L14">
        <f>G14+N(H14)/100</f>
        <v/>
      </c>
      <c r="N14" s="38" t="inlineStr">
        <is>
          <t>Pool B winner</t>
        </is>
      </c>
      <c r="O14" s="30">
        <f>IF(NOT(COUNTIFS($D$19:$D$24,"B",$H$19:$H$24,"&lt;&gt;")=3),"",IF(COUNTIF($I$13:$I$15,1)&lt;&gt;1,"Tie – set tiebreak",INDEX($K$13:$K$15,MATCH(1,$I$13:$I$15,0))))</f>
        <v/>
      </c>
      <c r="Q14" s="48" t="n"/>
    </row>
    <row r="15">
      <c r="A15" s="25" t="inlineStr">
        <is>
          <t>Team 6</t>
        </is>
      </c>
      <c r="B15" s="39" t="inlineStr">
        <is>
          <t>Aaram Thamburan</t>
        </is>
      </c>
      <c r="C15" s="12">
        <f>COUNTIFS($E$19:$E$24,$K15,$H$19:$H$24,"&lt;&gt;")+COUNTIFS($F$19:$F$24,$K15,$H$19:$H$24,"&lt;&gt;")</f>
        <v/>
      </c>
      <c r="D15" s="12">
        <f>COUNTIF($H$19:$H$24,$K15)</f>
        <v/>
      </c>
      <c r="E15" s="12">
        <f>COUNTIFS($E$19:$E$24,$K15,$H$19:$H$24,"Draw")+COUNTIFS($F$19:$F$24,$K15,$H$19:$H$24,"Draw")</f>
        <v/>
      </c>
      <c r="F15" s="12">
        <f>C15-D15-E15</f>
        <v/>
      </c>
      <c r="G15" s="25">
        <f>D15*$B$4+E15*$D$4</f>
        <v/>
      </c>
      <c r="H15" s="11" t="n"/>
      <c r="I15" s="25">
        <f>1+COUNTIF($L$13:$L$15,"&gt;"&amp;L15)</f>
        <v/>
      </c>
      <c r="K15">
        <f>IF(B15="",A15,B15)</f>
        <v/>
      </c>
      <c r="L15">
        <f>G15+N(H15)/100</f>
        <v/>
      </c>
      <c r="N15" s="41" t="inlineStr">
        <is>
          <t>Pool A runner-up</t>
        </is>
      </c>
      <c r="O15" s="60">
        <f>IF(NOT(COUNTIFS($D$19:$D$24,"A",$H$19:$H$24,"&lt;&gt;")=3),"",IF(COUNTIF($I$8:$I$10,2)&lt;&gt;1,"Tie – set tiebreak",INDEX($K$8:$K$10,MATCH(2,$I$8:$I$10,0))))</f>
        <v/>
      </c>
    </row>
    <row r="16">
      <c r="A16" s="8" t="inlineStr">
        <is>
          <t>Tiebreak: teams level on points are ordered by the Tiebreak column (higher = ranked above), based on goal difference / net run rate / head-to-head.</t>
        </is>
      </c>
      <c r="S16" s="56" t="inlineStr">
        <is>
          <t>F-3P-01   ·   3rd Place   ·   Thu 05 Nov   ·   follows</t>
        </is>
      </c>
      <c r="T16" s="37" t="n"/>
      <c r="X16" s="57" t="inlineStr">
        <is>
          <t>🥉 3RD PLACE</t>
        </is>
      </c>
    </row>
    <row r="17">
      <c r="A17" s="8" t="inlineStr">
        <is>
          <t>Pools from the draw: Pool A = Teams 3, 5, 2; Pool B = Teams 1, 4, 6. Both pools play on each pool day, ordered so that no team plays back-to-back.</t>
        </is>
      </c>
      <c r="S17" s="38" t="inlineStr">
        <is>
          <t>L F-SF-01</t>
        </is>
      </c>
      <c r="T17" s="30">
        <f>IF(T11="","",IF(T11=O9,O10&amp;"",IF(T11=O10,O9&amp;"","")))</f>
        <v/>
      </c>
      <c r="U17" s="50" t="n"/>
      <c r="V17" s="50" t="n"/>
      <c r="W17" s="50" t="n"/>
      <c r="X17" s="58">
        <f>IF(Y17="","W F-3P-01",IF(Y17=T17,S17&amp;"",IF(Y17=T18,S18&amp;"","W F-3P-01")))</f>
        <v/>
      </c>
      <c r="Y17" s="59" t="n"/>
    </row>
    <row r="18">
      <c r="A18" s="3" t="inlineStr">
        <is>
          <t>Match ID</t>
        </is>
      </c>
      <c r="B18" s="3" t="inlineStr">
        <is>
          <t>Day</t>
        </is>
      </c>
      <c r="C18" s="3" t="inlineStr">
        <is>
          <t>Time</t>
        </is>
      </c>
      <c r="D18" s="3" t="inlineStr">
        <is>
          <t>Pool</t>
        </is>
      </c>
      <c r="E18" s="3" t="inlineStr">
        <is>
          <t>Team 1</t>
        </is>
      </c>
      <c r="F18" s="3" t="inlineStr">
        <is>
          <t>Team 2</t>
        </is>
      </c>
      <c r="G18" s="3" t="inlineStr">
        <is>
          <t>Score / Result</t>
        </is>
      </c>
      <c r="H18" s="3" t="inlineStr">
        <is>
          <t>Winner</t>
        </is>
      </c>
      <c r="S18" s="41" t="inlineStr">
        <is>
          <t>L F-SF-02</t>
        </is>
      </c>
      <c r="T18" s="60">
        <f>IF(T12="","",IF(T12=O14,O15&amp;"",IF(T12=O15,O14&amp;"","")))</f>
        <v/>
      </c>
    </row>
    <row r="19">
      <c r="A19" s="67" t="inlineStr">
        <is>
          <t>F-GB-01</t>
        </is>
      </c>
      <c r="B19" s="6" t="inlineStr">
        <is>
          <t>Thu 29 Oct</t>
        </is>
      </c>
      <c r="C19" s="6" t="inlineStr">
        <is>
          <t>19:00</t>
        </is>
      </c>
      <c r="D19" s="6" t="inlineStr">
        <is>
          <t>B</t>
        </is>
      </c>
      <c r="E19" s="30">
        <f>$K$13</f>
        <v/>
      </c>
      <c r="F19" s="30">
        <f>$K$14</f>
        <v/>
      </c>
      <c r="G19" s="11" t="n"/>
      <c r="H19" s="47" t="n"/>
      <c r="AA19">
        <f>E19</f>
        <v/>
      </c>
      <c r="AB19">
        <f>F19</f>
        <v/>
      </c>
      <c r="AC19" t="inlineStr">
        <is>
          <t>Draw</t>
        </is>
      </c>
    </row>
    <row r="20">
      <c r="A20" s="67" t="inlineStr">
        <is>
          <t>F-GA-01</t>
        </is>
      </c>
      <c r="B20" s="6" t="inlineStr">
        <is>
          <t>Thu 29 Oct</t>
        </is>
      </c>
      <c r="C20" s="6" t="inlineStr">
        <is>
          <t>follows</t>
        </is>
      </c>
      <c r="D20" s="6" t="inlineStr">
        <is>
          <t>A</t>
        </is>
      </c>
      <c r="E20" s="30">
        <f>$K$8</f>
        <v/>
      </c>
      <c r="F20" s="30">
        <f>$K$9</f>
        <v/>
      </c>
      <c r="G20" s="11" t="n"/>
      <c r="H20" s="47" t="n"/>
      <c r="AA20">
        <f>E20</f>
        <v/>
      </c>
      <c r="AB20">
        <f>F20</f>
        <v/>
      </c>
      <c r="AC20" t="inlineStr">
        <is>
          <t>Draw</t>
        </is>
      </c>
    </row>
    <row r="21">
      <c r="A21" s="67" t="inlineStr">
        <is>
          <t>F-GB-03</t>
        </is>
      </c>
      <c r="B21" s="6" t="inlineStr">
        <is>
          <t>Thu 29 Oct</t>
        </is>
      </c>
      <c r="C21" s="6" t="inlineStr">
        <is>
          <t>follows</t>
        </is>
      </c>
      <c r="D21" s="6" t="inlineStr">
        <is>
          <t>B</t>
        </is>
      </c>
      <c r="E21" s="30">
        <f>$K$14</f>
        <v/>
      </c>
      <c r="F21" s="30">
        <f>$K$15</f>
        <v/>
      </c>
      <c r="G21" s="11" t="n"/>
      <c r="H21" s="47" t="n"/>
      <c r="AA21">
        <f>E21</f>
        <v/>
      </c>
      <c r="AB21">
        <f>F21</f>
        <v/>
      </c>
      <c r="AC21" t="inlineStr">
        <is>
          <t>Draw</t>
        </is>
      </c>
    </row>
    <row r="22">
      <c r="A22" s="67" t="inlineStr">
        <is>
          <t>F-GA-02</t>
        </is>
      </c>
      <c r="B22" s="6" t="inlineStr">
        <is>
          <t>Fri 30 Oct</t>
        </is>
      </c>
      <c r="C22" s="6" t="inlineStr">
        <is>
          <t>19:00</t>
        </is>
      </c>
      <c r="D22" s="6" t="inlineStr">
        <is>
          <t>A</t>
        </is>
      </c>
      <c r="E22" s="30">
        <f>$K$10</f>
        <v/>
      </c>
      <c r="F22" s="30">
        <f>$K$8</f>
        <v/>
      </c>
      <c r="G22" s="11" t="n"/>
      <c r="H22" s="47" t="n"/>
      <c r="AA22">
        <f>E22</f>
        <v/>
      </c>
      <c r="AB22">
        <f>F22</f>
        <v/>
      </c>
      <c r="AC22" t="inlineStr">
        <is>
          <t>Draw</t>
        </is>
      </c>
    </row>
    <row r="23">
      <c r="A23" s="67" t="inlineStr">
        <is>
          <t>F-GB-02</t>
        </is>
      </c>
      <c r="B23" s="6" t="inlineStr">
        <is>
          <t>Fri 30 Oct</t>
        </is>
      </c>
      <c r="C23" s="6" t="inlineStr">
        <is>
          <t>follows</t>
        </is>
      </c>
      <c r="D23" s="6" t="inlineStr">
        <is>
          <t>B</t>
        </is>
      </c>
      <c r="E23" s="30">
        <f>$K$15</f>
        <v/>
      </c>
      <c r="F23" s="30">
        <f>$K$13</f>
        <v/>
      </c>
      <c r="G23" s="11" t="n"/>
      <c r="H23" s="47" t="n"/>
      <c r="AA23">
        <f>E23</f>
        <v/>
      </c>
      <c r="AB23">
        <f>F23</f>
        <v/>
      </c>
      <c r="AC23" t="inlineStr">
        <is>
          <t>Draw</t>
        </is>
      </c>
    </row>
    <row r="24">
      <c r="A24" s="67" t="inlineStr">
        <is>
          <t>F-GA-03</t>
        </is>
      </c>
      <c r="B24" s="6" t="inlineStr">
        <is>
          <t>Fri 30 Oct</t>
        </is>
      </c>
      <c r="C24" s="6" t="inlineStr">
        <is>
          <t>follows</t>
        </is>
      </c>
      <c r="D24" s="6" t="inlineStr">
        <is>
          <t>A</t>
        </is>
      </c>
      <c r="E24" s="30">
        <f>$K$9</f>
        <v/>
      </c>
      <c r="F24" s="30">
        <f>$K$10</f>
        <v/>
      </c>
      <c r="G24" s="11" t="n"/>
      <c r="H24" s="47" t="n"/>
      <c r="AA24">
        <f>E24</f>
        <v/>
      </c>
      <c r="AB24">
        <f>F24</f>
        <v/>
      </c>
      <c r="AC24" t="inlineStr">
        <is>
          <t>Draw</t>
        </is>
      </c>
    </row>
  </sheetData>
  <mergeCells count="14">
    <mergeCell ref="A2:V2"/>
    <mergeCell ref="X12:Y12"/>
    <mergeCell ref="S16:T16"/>
    <mergeCell ref="A11:I11"/>
    <mergeCell ref="X6:Y6"/>
    <mergeCell ref="S10:T10"/>
    <mergeCell ref="X10:Y10"/>
    <mergeCell ref="X16:Y16"/>
    <mergeCell ref="A1:V1"/>
    <mergeCell ref="N6:O6"/>
    <mergeCell ref="S6:T6"/>
    <mergeCell ref="A6:I6"/>
    <mergeCell ref="N13:O13"/>
    <mergeCell ref="N8:O8"/>
  </mergeCells>
  <dataValidations count="10">
    <dataValidation sqref="H19" showDropDown="0" showInputMessage="0" showErrorMessage="0" allowBlank="1" type="list">
      <formula1>$AA$19:$AC$19</formula1>
    </dataValidation>
    <dataValidation sqref="H20" showDropDown="0" showInputMessage="0" showErrorMessage="0" allowBlank="1" type="list">
      <formula1>$AA$20:$AC$20</formula1>
    </dataValidation>
    <dataValidation sqref="H21" showDropDown="0" showInputMessage="0" showErrorMessage="0" allowBlank="1" type="list">
      <formula1>$AA$21:$AC$21</formula1>
    </dataValidation>
    <dataValidation sqref="H22" showDropDown="0" showInputMessage="0" showErrorMessage="0" allowBlank="1" type="list">
      <formula1>$AA$22:$AC$22</formula1>
    </dataValidation>
    <dataValidation sqref="H23" showDropDown="0" showInputMessage="0" showErrorMessage="0" allowBlank="1" type="list">
      <formula1>$AA$23:$AC$23</formula1>
    </dataValidation>
    <dataValidation sqref="H24" showDropDown="0" showInputMessage="0" showErrorMessage="0" allowBlank="1" type="list">
      <formula1>$AA$24:$AC$24</formula1>
    </dataValidation>
    <dataValidation sqref="T11" showDropDown="0" showInputMessage="0" showErrorMessage="0" allowBlank="1" type="list">
      <formula1>$O$9:$O$10</formula1>
    </dataValidation>
    <dataValidation sqref="T12" showDropDown="0" showInputMessage="0" showErrorMessage="0" allowBlank="1" type="list">
      <formula1>$O$14:$O$15</formula1>
    </dataValidation>
    <dataValidation sqref="Y11" showDropDown="0" showInputMessage="0" showErrorMessage="0" allowBlank="1" type="list">
      <formula1>$T$11:$T$12</formula1>
    </dataValidation>
    <dataValidation sqref="Y17" showDropDown="0" showInputMessage="0" showErrorMessage="0" allowBlank="1" type="list">
      <formula1>$T$17:$T$18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2026-10-14T19:02:47Z</dcterms:created>
  <dcterms:modified xsi:type="dcterms:W3CDTF">2026-10-14T19:02:48Z</dcterms:modified>
</cp:coreProperties>
</file>